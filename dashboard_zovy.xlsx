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Trabalho\ProjetosPortfolio\Excel\"/>
    </mc:Choice>
  </mc:AlternateContent>
  <xr:revisionPtr revIDLastSave="0" documentId="13_ncr:1_{C9E8F171-3BC9-440B-837D-26F09F33CF98}" xr6:coauthVersionLast="47" xr6:coauthVersionMax="47" xr10:uidLastSave="{00000000-0000-0000-0000-000000000000}"/>
  <bookViews>
    <workbookView xWindow="-120" yWindow="-120" windowWidth="38640" windowHeight="21120" xr2:uid="{F0A02D15-31D9-43FA-8D7D-4B65B0ED32F8}"/>
  </bookViews>
  <sheets>
    <sheet name="dashboard" sheetId="3" r:id="rId1"/>
    <sheet name="analytics" sheetId="4" r:id="rId2"/>
    <sheet name="sales" sheetId="2" state="hidden" r:id="rId3"/>
  </sheets>
  <definedNames>
    <definedName name="_xlnm._FilterDatabase" localSheetId="2" hidden="1">sales!$A$1:$N$501</definedName>
    <definedName name="_xlchart.v5.0" hidden="1">analytics!$A$17</definedName>
    <definedName name="_xlchart.v5.1" hidden="1">analytics!$A$18:$A$27</definedName>
    <definedName name="_xlchart.v5.2" hidden="1">analytics!$B$17</definedName>
    <definedName name="_xlchart.v5.3" hidden="1">analytics!$B$18:$B$27</definedName>
    <definedName name="SegmentaçãodeDados_UF">#N/A</definedName>
  </definedNames>
  <calcPr calcId="191029"/>
  <pivotCaches>
    <pivotCache cacheId="0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4" l="1"/>
  <c r="K5" i="4"/>
  <c r="K6" i="4"/>
  <c r="K7" i="4"/>
  <c r="K3" i="4"/>
  <c r="J4" i="4"/>
  <c r="J5" i="4"/>
  <c r="J6" i="4"/>
  <c r="J7" i="4"/>
  <c r="J3" i="4"/>
  <c r="B19" i="4"/>
  <c r="B20" i="4"/>
  <c r="B21" i="4"/>
  <c r="B22" i="4"/>
  <c r="B23" i="4"/>
  <c r="B24" i="4"/>
  <c r="B25" i="4"/>
  <c r="B26" i="4"/>
  <c r="B27" i="4"/>
  <c r="B18" i="4"/>
  <c r="F34" i="4"/>
  <c r="F35" i="4"/>
  <c r="F36" i="4"/>
  <c r="F37" i="4"/>
  <c r="F38" i="4"/>
  <c r="F39" i="4"/>
  <c r="F40" i="4"/>
  <c r="F41" i="4"/>
  <c r="F42" i="4"/>
  <c r="F43" i="4"/>
  <c r="F44" i="4"/>
  <c r="F45" i="4"/>
  <c r="F33" i="4"/>
  <c r="G45" i="4" l="1"/>
  <c r="G42" i="4"/>
  <c r="G41" i="4"/>
  <c r="G40" i="4"/>
  <c r="G43" i="4"/>
  <c r="G39" i="4"/>
  <c r="G38" i="4"/>
  <c r="G37" i="4"/>
  <c r="G36" i="4"/>
  <c r="G35" i="4"/>
  <c r="G33" i="4"/>
  <c r="G34" i="4"/>
  <c r="G44" i="4"/>
</calcChain>
</file>

<file path=xl/sharedStrings.xml><?xml version="1.0" encoding="utf-8"?>
<sst xmlns="http://schemas.openxmlformats.org/spreadsheetml/2006/main" count="3628" uniqueCount="794">
  <si>
    <t>Status</t>
  </si>
  <si>
    <t>RJ</t>
  </si>
  <si>
    <t>ID_Pedido</t>
  </si>
  <si>
    <t>Data_Pedido</t>
  </si>
  <si>
    <t>ID_Cliente</t>
  </si>
  <si>
    <t>Estado</t>
  </si>
  <si>
    <t>Categoria</t>
  </si>
  <si>
    <t>Produto</t>
  </si>
  <si>
    <t>Quantidade</t>
  </si>
  <si>
    <t>Preco_Unitario</t>
  </si>
  <si>
    <t>Custo_Unitario</t>
  </si>
  <si>
    <t>Valor_Total</t>
  </si>
  <si>
    <t>Custo_Total</t>
  </si>
  <si>
    <t>Margem_Lucro</t>
  </si>
  <si>
    <t>Forma_Pagamento</t>
  </si>
  <si>
    <t>Status_Pedido</t>
  </si>
  <si>
    <t>ZOV-1001</t>
  </si>
  <si>
    <t>CUST-106</t>
  </si>
  <si>
    <t>Acessórios</t>
  </si>
  <si>
    <t>Shoulder Bag Tactical ZOVY</t>
  </si>
  <si>
    <t>Cartão de Crédito</t>
  </si>
  <si>
    <t>Aprovado</t>
  </si>
  <si>
    <t>ZOV-1002</t>
  </si>
  <si>
    <t>CUST-157</t>
  </si>
  <si>
    <t>SP</t>
  </si>
  <si>
    <t>Camisetas</t>
  </si>
  <si>
    <t>Camiseta Oversized Minimalist White</t>
  </si>
  <si>
    <t>Entregue</t>
  </si>
  <si>
    <t>ZOV-1003</t>
  </si>
  <si>
    <t>CUST-273</t>
  </si>
  <si>
    <t>Pix</t>
  </si>
  <si>
    <t>ZOV-1004</t>
  </si>
  <si>
    <t>CUST-251</t>
  </si>
  <si>
    <t>Camiseta Graphic Streetwear Off-White</t>
  </si>
  <si>
    <t>ZOV-1005</t>
  </si>
  <si>
    <t>CUST-123</t>
  </si>
  <si>
    <t>MG</t>
  </si>
  <si>
    <t>ZOV-1006</t>
  </si>
  <si>
    <t>CUST-254</t>
  </si>
  <si>
    <t>RS</t>
  </si>
  <si>
    <t>Camiseta Oversized Basic Black</t>
  </si>
  <si>
    <t>ZOV-1007</t>
  </si>
  <si>
    <t>CUST-283</t>
  </si>
  <si>
    <t>Boleto Bancário</t>
  </si>
  <si>
    <t>Inadimplente</t>
  </si>
  <si>
    <t>ZOV-1008</t>
  </si>
  <si>
    <t>CUST-250</t>
  </si>
  <si>
    <t>Camiseta Heavyweight Urban Grey</t>
  </si>
  <si>
    <t>ZOV-1009</t>
  </si>
  <si>
    <t>CUST-278</t>
  </si>
  <si>
    <t>Moletons</t>
  </si>
  <si>
    <t>Hoodie Boxy Fit Charcoal</t>
  </si>
  <si>
    <t>ZOV-1010</t>
  </si>
  <si>
    <t>CUST-139</t>
  </si>
  <si>
    <t>PR</t>
  </si>
  <si>
    <t>ZOV-1011</t>
  </si>
  <si>
    <t>CUST-126</t>
  </si>
  <si>
    <t>PE</t>
  </si>
  <si>
    <t>Calças</t>
  </si>
  <si>
    <t>Calça Cargo Wide Leg Black</t>
  </si>
  <si>
    <t>ZOV-1012</t>
  </si>
  <si>
    <t>CUST-191</t>
  </si>
  <si>
    <t>DF</t>
  </si>
  <si>
    <t>ZOV-1013</t>
  </si>
  <si>
    <t>CUST-306</t>
  </si>
  <si>
    <t>ZOV-1014</t>
  </si>
  <si>
    <t>CUST-237</t>
  </si>
  <si>
    <t>Cancelado</t>
  </si>
  <si>
    <t>ZOV-1015</t>
  </si>
  <si>
    <t>CUST-241</t>
  </si>
  <si>
    <t>ZOV-1016</t>
  </si>
  <si>
    <t>CUST-326</t>
  </si>
  <si>
    <t>SC</t>
  </si>
  <si>
    <t>Calça Sweatpants Oversized Grey</t>
  </si>
  <si>
    <t>ZOV-1017</t>
  </si>
  <si>
    <t>CUST-280</t>
  </si>
  <si>
    <t>BA</t>
  </si>
  <si>
    <t>Hoodie Oversized Essential Black</t>
  </si>
  <si>
    <t>ZOV-1018</t>
  </si>
  <si>
    <t>CUST-297</t>
  </si>
  <si>
    <t>ZOV-1019</t>
  </si>
  <si>
    <t>CUST-321</t>
  </si>
  <si>
    <t>ZOV-1020</t>
  </si>
  <si>
    <t>CUST-216</t>
  </si>
  <si>
    <t>Moletom Crewneck ZOVY Arch</t>
  </si>
  <si>
    <t>ZOV-1021</t>
  </si>
  <si>
    <t>CUST-194</t>
  </si>
  <si>
    <t>ZOV-1022</t>
  </si>
  <si>
    <t>CUST-279</t>
  </si>
  <si>
    <t>ZOV-1023</t>
  </si>
  <si>
    <t>CUST-143</t>
  </si>
  <si>
    <t>ZOV-1024</t>
  </si>
  <si>
    <t>CUST-197</t>
  </si>
  <si>
    <t>ZOV-1025</t>
  </si>
  <si>
    <t>CUST-156</t>
  </si>
  <si>
    <t>Calça Denim Straight Fit Dark Wash</t>
  </si>
  <si>
    <t>ZOV-1026</t>
  </si>
  <si>
    <t>CUST-158</t>
  </si>
  <si>
    <t>ZOV-1027</t>
  </si>
  <si>
    <t>CUST-168</t>
  </si>
  <si>
    <t>ZOV-1028</t>
  </si>
  <si>
    <t>CUST-324</t>
  </si>
  <si>
    <t>ZOV-1029</t>
  </si>
  <si>
    <t>CUST-267</t>
  </si>
  <si>
    <t>ZOV-1030</t>
  </si>
  <si>
    <t>CUST-217</t>
  </si>
  <si>
    <t>ZOV-1031</t>
  </si>
  <si>
    <t>CUST-163</t>
  </si>
  <si>
    <t>ZOV-1032</t>
  </si>
  <si>
    <t>CUST-209</t>
  </si>
  <si>
    <t>ZOV-1033</t>
  </si>
  <si>
    <t>ZOV-1034</t>
  </si>
  <si>
    <t>ZOV-1035</t>
  </si>
  <si>
    <t>CUST-260</t>
  </si>
  <si>
    <t>ZOV-1036</t>
  </si>
  <si>
    <t>CUST-252</t>
  </si>
  <si>
    <t>ZOV-1037</t>
  </si>
  <si>
    <t>ZOV-1038</t>
  </si>
  <si>
    <t>CUST-348</t>
  </si>
  <si>
    <t>ZOV-1039</t>
  </si>
  <si>
    <t>CUST-274</t>
  </si>
  <si>
    <t>ZOV-1040</t>
  </si>
  <si>
    <t>CUST-296</t>
  </si>
  <si>
    <t>ZOV-1041</t>
  </si>
  <si>
    <t>CUST-175</t>
  </si>
  <si>
    <t>ZOV-1042</t>
  </si>
  <si>
    <t>CUST-100</t>
  </si>
  <si>
    <t>ZOV-1043</t>
  </si>
  <si>
    <t>CUST-229</t>
  </si>
  <si>
    <t>ZOV-1044</t>
  </si>
  <si>
    <t>CUST-315</t>
  </si>
  <si>
    <t>ZOV-1045</t>
  </si>
  <si>
    <t>CUST-295</t>
  </si>
  <si>
    <t>ZOV-1046</t>
  </si>
  <si>
    <t>CUST-335</t>
  </si>
  <si>
    <t>Boné Dad Hat ZOVY Black</t>
  </si>
  <si>
    <t>ZOV-1047</t>
  </si>
  <si>
    <t>CUST-225</t>
  </si>
  <si>
    <t>ZOV-1048</t>
  </si>
  <si>
    <t>ZOV-1049</t>
  </si>
  <si>
    <t>CUST-161</t>
  </si>
  <si>
    <t>ZOV-1050</t>
  </si>
  <si>
    <t>CUST-287</t>
  </si>
  <si>
    <t>ZOV-1051</t>
  </si>
  <si>
    <t>ZOV-1052</t>
  </si>
  <si>
    <t>CUST-342</t>
  </si>
  <si>
    <t>ZOV-1053</t>
  </si>
  <si>
    <t>CUST-235</t>
  </si>
  <si>
    <t>ZOV-1054</t>
  </si>
  <si>
    <t>CUST-337</t>
  </si>
  <si>
    <t>ZOV-1055</t>
  </si>
  <si>
    <t>CUST-282</t>
  </si>
  <si>
    <t>ZOV-1056</t>
  </si>
  <si>
    <t>CUST-195</t>
  </si>
  <si>
    <t>ZOV-1057</t>
  </si>
  <si>
    <t>CUST-130</t>
  </si>
  <si>
    <t>ZOV-1058</t>
  </si>
  <si>
    <t>CUST-186</t>
  </si>
  <si>
    <t>ZOV-1059</t>
  </si>
  <si>
    <t>ZOV-1060</t>
  </si>
  <si>
    <t>CUST-281</t>
  </si>
  <si>
    <t>ZOV-1061</t>
  </si>
  <si>
    <t>CUST-117</t>
  </si>
  <si>
    <t>ZOV-1062</t>
  </si>
  <si>
    <t>CUST-231</t>
  </si>
  <si>
    <t>GO</t>
  </si>
  <si>
    <t>ZOV-1063</t>
  </si>
  <si>
    <t>CUST-154</t>
  </si>
  <si>
    <t>ZOV-1064</t>
  </si>
  <si>
    <t>CUST-247</t>
  </si>
  <si>
    <t>ZOV-1065</t>
  </si>
  <si>
    <t>ZOV-1066</t>
  </si>
  <si>
    <t>CUST-124</t>
  </si>
  <si>
    <t>ZOV-1067</t>
  </si>
  <si>
    <t>CUST-208</t>
  </si>
  <si>
    <t>ZOV-1068</t>
  </si>
  <si>
    <t>CUST-272</t>
  </si>
  <si>
    <t>ZOV-1069</t>
  </si>
  <si>
    <t>CUST-115</t>
  </si>
  <si>
    <t>ZOV-1070</t>
  </si>
  <si>
    <t>CUST-304</t>
  </si>
  <si>
    <t>ZOV-1071</t>
  </si>
  <si>
    <t>CUST-148</t>
  </si>
  <si>
    <t>ZOV-1072</t>
  </si>
  <si>
    <t>ZOV-1073</t>
  </si>
  <si>
    <t>ZOV-1074</t>
  </si>
  <si>
    <t>CUST-125</t>
  </si>
  <si>
    <t>ZOV-1075</t>
  </si>
  <si>
    <t>CUST-314</t>
  </si>
  <si>
    <t>ZOV-1076</t>
  </si>
  <si>
    <t>CUST-142</t>
  </si>
  <si>
    <t>ZOV-1077</t>
  </si>
  <si>
    <t>ZOV-1078</t>
  </si>
  <si>
    <t>ZOV-1079</t>
  </si>
  <si>
    <t>ZOV-1080</t>
  </si>
  <si>
    <t>ZOV-1081</t>
  </si>
  <si>
    <t>CUST-269</t>
  </si>
  <si>
    <t>ZOV-1082</t>
  </si>
  <si>
    <t>ZOV-1083</t>
  </si>
  <si>
    <t>CUST-248</t>
  </si>
  <si>
    <t>ZOV-1084</t>
  </si>
  <si>
    <t>CUST-291</t>
  </si>
  <si>
    <t>ZOV-1085</t>
  </si>
  <si>
    <t>CUST-249</t>
  </si>
  <si>
    <t>ZOV-1086</t>
  </si>
  <si>
    <t>CUST-140</t>
  </si>
  <si>
    <t>ZOV-1087</t>
  </si>
  <si>
    <t>CUST-317</t>
  </si>
  <si>
    <t>ZOV-1088</t>
  </si>
  <si>
    <t>ZOV-1089</t>
  </si>
  <si>
    <t>CUST-341</t>
  </si>
  <si>
    <t>ZOV-1090</t>
  </si>
  <si>
    <t>ZOV-1091</t>
  </si>
  <si>
    <t>CUST-207</t>
  </si>
  <si>
    <t>ZOV-1092</t>
  </si>
  <si>
    <t>CUST-233</t>
  </si>
  <si>
    <t>ZOV-1093</t>
  </si>
  <si>
    <t>CUST-271</t>
  </si>
  <si>
    <t>ZOV-1094</t>
  </si>
  <si>
    <t>CUST-167</t>
  </si>
  <si>
    <t>ZOV-1095</t>
  </si>
  <si>
    <t>CUST-176</t>
  </si>
  <si>
    <t>Benei Beanie Streetwear Grey</t>
  </si>
  <si>
    <t>ZOV-1096</t>
  </si>
  <si>
    <t>CUST-102</t>
  </si>
  <si>
    <t>ZOV-1097</t>
  </si>
  <si>
    <t>ZOV-1098</t>
  </si>
  <si>
    <t>ZOV-1099</t>
  </si>
  <si>
    <t>CUST-325</t>
  </si>
  <si>
    <t>ZOV-1100</t>
  </si>
  <si>
    <t>CUST-172</t>
  </si>
  <si>
    <t>ZOV-1101</t>
  </si>
  <si>
    <t>ZOV-1102</t>
  </si>
  <si>
    <t>ZOV-1103</t>
  </si>
  <si>
    <t>ZOV-1104</t>
  </si>
  <si>
    <t>CUST-129</t>
  </si>
  <si>
    <t>ZOV-1105</t>
  </si>
  <si>
    <t>ZOV-1106</t>
  </si>
  <si>
    <t>CUST-153</t>
  </si>
  <si>
    <t>ZOV-1107</t>
  </si>
  <si>
    <t>CUST-318</t>
  </si>
  <si>
    <t>ZOV-1108</t>
  </si>
  <si>
    <t>CUST-164</t>
  </si>
  <si>
    <t>ZOV-1109</t>
  </si>
  <si>
    <t>ZOV-1110</t>
  </si>
  <si>
    <t>CUST-185</t>
  </si>
  <si>
    <t>ZOV-1111</t>
  </si>
  <si>
    <t>CUST-141</t>
  </si>
  <si>
    <t>ZOV-1112</t>
  </si>
  <si>
    <t>ZOV-1113</t>
  </si>
  <si>
    <t>CUST-128</t>
  </si>
  <si>
    <t>ZOV-1114</t>
  </si>
  <si>
    <t>CUST-239</t>
  </si>
  <si>
    <t>ZOV-1115</t>
  </si>
  <si>
    <t>ZOV-1116</t>
  </si>
  <si>
    <t>CUST-110</t>
  </si>
  <si>
    <t>ZOV-1117</t>
  </si>
  <si>
    <t>CUST-330</t>
  </si>
  <si>
    <t>ZOV-1118</t>
  </si>
  <si>
    <t>CUST-270</t>
  </si>
  <si>
    <t>ZOV-1119</t>
  </si>
  <si>
    <t>ZOV-1120</t>
  </si>
  <si>
    <t>CUST-336</t>
  </si>
  <si>
    <t>ZOV-1121</t>
  </si>
  <si>
    <t>ZOV-1122</t>
  </si>
  <si>
    <t>CUST-288</t>
  </si>
  <si>
    <t>ZOV-1123</t>
  </si>
  <si>
    <t>CUST-305</t>
  </si>
  <si>
    <t>ZOV-1124</t>
  </si>
  <si>
    <t>ZOV-1125</t>
  </si>
  <si>
    <t>ZOV-1126</t>
  </si>
  <si>
    <t>CUST-151</t>
  </si>
  <si>
    <t>ZOV-1127</t>
  </si>
  <si>
    <t>CUST-310</t>
  </si>
  <si>
    <t>ZOV-1128</t>
  </si>
  <si>
    <t>CUST-268</t>
  </si>
  <si>
    <t>ZOV-1129</t>
  </si>
  <si>
    <t>CUST-171</t>
  </si>
  <si>
    <t>ZOV-1130</t>
  </si>
  <si>
    <t>CUST-189</t>
  </si>
  <si>
    <t>ZOV-1131</t>
  </si>
  <si>
    <t>ZOV-1132</t>
  </si>
  <si>
    <t>ZOV-1133</t>
  </si>
  <si>
    <t>CUST-346</t>
  </si>
  <si>
    <t>ZOV-1134</t>
  </si>
  <si>
    <t>ZOV-1135</t>
  </si>
  <si>
    <t>CUST-211</t>
  </si>
  <si>
    <t>ZOV-1136</t>
  </si>
  <si>
    <t>CUST-198</t>
  </si>
  <si>
    <t>ZOV-1137</t>
  </si>
  <si>
    <t>ZOV-1138</t>
  </si>
  <si>
    <t>ZOV-1139</t>
  </si>
  <si>
    <t>CUST-193</t>
  </si>
  <si>
    <t>ZOV-1140</t>
  </si>
  <si>
    <t>CUST-259</t>
  </si>
  <si>
    <t>ZOV-1141</t>
  </si>
  <si>
    <t>CUST-284</t>
  </si>
  <si>
    <t>ZOV-1142</t>
  </si>
  <si>
    <t>ZOV-1143</t>
  </si>
  <si>
    <t>ZOV-1144</t>
  </si>
  <si>
    <t>CUST-149</t>
  </si>
  <si>
    <t>ZOV-1145</t>
  </si>
  <si>
    <t>ZOV-1146</t>
  </si>
  <si>
    <t>CUST-177</t>
  </si>
  <si>
    <t>ZOV-1147</t>
  </si>
  <si>
    <t>ZOV-1148</t>
  </si>
  <si>
    <t>CUST-301</t>
  </si>
  <si>
    <t>ZOV-1149</t>
  </si>
  <si>
    <t>CUST-213</t>
  </si>
  <si>
    <t>ZOV-1150</t>
  </si>
  <si>
    <t>CUST-303</t>
  </si>
  <si>
    <t>ZOV-1151</t>
  </si>
  <si>
    <t>ZOV-1152</t>
  </si>
  <si>
    <t>CUST-258</t>
  </si>
  <si>
    <t>ZOV-1153</t>
  </si>
  <si>
    <t>ZOV-1154</t>
  </si>
  <si>
    <t>CUST-137</t>
  </si>
  <si>
    <t>ZOV-1155</t>
  </si>
  <si>
    <t>CUST-221</t>
  </si>
  <si>
    <t>ZOV-1156</t>
  </si>
  <si>
    <t>ZOV-1157</t>
  </si>
  <si>
    <t>ZOV-1158</t>
  </si>
  <si>
    <t>CUST-226</t>
  </si>
  <si>
    <t>ZOV-1159</t>
  </si>
  <si>
    <t>ZOV-1160</t>
  </si>
  <si>
    <t>CUST-299</t>
  </si>
  <si>
    <t>ZOV-1161</t>
  </si>
  <si>
    <t>ZOV-1162</t>
  </si>
  <si>
    <t>ZOV-1163</t>
  </si>
  <si>
    <t>ZOV-1164</t>
  </si>
  <si>
    <t>CUST-243</t>
  </si>
  <si>
    <t>ZOV-1165</t>
  </si>
  <si>
    <t>CUST-256</t>
  </si>
  <si>
    <t>ZOV-1166</t>
  </si>
  <si>
    <t>CUST-329</t>
  </si>
  <si>
    <t>ZOV-1167</t>
  </si>
  <si>
    <t>CUST-215</t>
  </si>
  <si>
    <t>ZOV-1168</t>
  </si>
  <si>
    <t>ZOV-1169</t>
  </si>
  <si>
    <t>CUST-224</t>
  </si>
  <si>
    <t>ZOV-1170</t>
  </si>
  <si>
    <t>CUST-212</t>
  </si>
  <si>
    <t>ZOV-1171</t>
  </si>
  <si>
    <t>CUST-160</t>
  </si>
  <si>
    <t>ZOV-1172</t>
  </si>
  <si>
    <t>CUST-328</t>
  </si>
  <si>
    <t>ZOV-1173</t>
  </si>
  <si>
    <t>CUST-159</t>
  </si>
  <si>
    <t>ZOV-1174</t>
  </si>
  <si>
    <t>ZOV-1175</t>
  </si>
  <si>
    <t>CUST-204</t>
  </si>
  <si>
    <t>ZOV-1176</t>
  </si>
  <si>
    <t>CUST-206</t>
  </si>
  <si>
    <t>ZOV-1177</t>
  </si>
  <si>
    <t>CUST-199</t>
  </si>
  <si>
    <t>ZOV-1178</t>
  </si>
  <si>
    <t>CUST-319</t>
  </si>
  <si>
    <t>ZOV-1179</t>
  </si>
  <si>
    <t>CUST-101</t>
  </si>
  <si>
    <t>ZOV-1180</t>
  </si>
  <si>
    <t>ZOV-1181</t>
  </si>
  <si>
    <t>ZOV-1182</t>
  </si>
  <si>
    <t>CUST-169</t>
  </si>
  <si>
    <t>ZOV-1183</t>
  </si>
  <si>
    <t>ZOV-1184</t>
  </si>
  <si>
    <t>CUST-285</t>
  </si>
  <si>
    <t>ZOV-1185</t>
  </si>
  <si>
    <t>ZOV-1186</t>
  </si>
  <si>
    <t>ZOV-1187</t>
  </si>
  <si>
    <t>ZOV-1188</t>
  </si>
  <si>
    <t>CUST-112</t>
  </si>
  <si>
    <t>ZOV-1189</t>
  </si>
  <si>
    <t>ZOV-1190</t>
  </si>
  <si>
    <t>CUST-294</t>
  </si>
  <si>
    <t>ZOV-1191</t>
  </si>
  <si>
    <t>ZOV-1192</t>
  </si>
  <si>
    <t>ZOV-1193</t>
  </si>
  <si>
    <t>ZOV-1194</t>
  </si>
  <si>
    <t>ZOV-1195</t>
  </si>
  <si>
    <t>ZOV-1196</t>
  </si>
  <si>
    <t>ZOV-1197</t>
  </si>
  <si>
    <t>CUST-244</t>
  </si>
  <si>
    <t>ZOV-1198</t>
  </si>
  <si>
    <t>ZOV-1199</t>
  </si>
  <si>
    <t>CUST-255</t>
  </si>
  <si>
    <t>ZOV-1200</t>
  </si>
  <si>
    <t>ZOV-1201</t>
  </si>
  <si>
    <t>ZOV-1202</t>
  </si>
  <si>
    <t>ZOV-1203</t>
  </si>
  <si>
    <t>CUST-119</t>
  </si>
  <si>
    <t>ZOV-1204</t>
  </si>
  <si>
    <t>CUST-162</t>
  </si>
  <si>
    <t>ZOV-1205</t>
  </si>
  <si>
    <t>ZOV-1206</t>
  </si>
  <si>
    <t>CUST-188</t>
  </si>
  <si>
    <t>ZOV-1207</t>
  </si>
  <si>
    <t>ZOV-1208</t>
  </si>
  <si>
    <t>CUST-103</t>
  </si>
  <si>
    <t>ZOV-1209</t>
  </si>
  <si>
    <t>CUST-210</t>
  </si>
  <si>
    <t>ZOV-1210</t>
  </si>
  <si>
    <t>ZOV-1211</t>
  </si>
  <si>
    <t>ZOV-1212</t>
  </si>
  <si>
    <t>CUST-257</t>
  </si>
  <si>
    <t>ZOV-1213</t>
  </si>
  <si>
    <t>CUST-219</t>
  </si>
  <si>
    <t>ZOV-1214</t>
  </si>
  <si>
    <t>ZOV-1215</t>
  </si>
  <si>
    <t>ZOV-1216</t>
  </si>
  <si>
    <t>CUST-245</t>
  </si>
  <si>
    <t>ZOV-1217</t>
  </si>
  <si>
    <t>ZOV-1218</t>
  </si>
  <si>
    <t>ZOV-1219</t>
  </si>
  <si>
    <t>ZOV-1220</t>
  </si>
  <si>
    <t>CUST-242</t>
  </si>
  <si>
    <t>ZOV-1221</t>
  </si>
  <si>
    <t>CUST-121</t>
  </si>
  <si>
    <t>ZOV-1222</t>
  </si>
  <si>
    <t>ZOV-1223</t>
  </si>
  <si>
    <t>CUST-265</t>
  </si>
  <si>
    <t>ZOV-1224</t>
  </si>
  <si>
    <t>ZOV-1225</t>
  </si>
  <si>
    <t>CUST-277</t>
  </si>
  <si>
    <t>ZOV-1226</t>
  </si>
  <si>
    <t>ZOV-1227</t>
  </si>
  <si>
    <t>ZOV-1228</t>
  </si>
  <si>
    <t>CUST-184</t>
  </si>
  <si>
    <t>ZOV-1229</t>
  </si>
  <si>
    <t>ZOV-1230</t>
  </si>
  <si>
    <t>ZOV-1231</t>
  </si>
  <si>
    <t>ZOV-1232</t>
  </si>
  <si>
    <t>ZOV-1233</t>
  </si>
  <si>
    <t>CUST-170</t>
  </si>
  <si>
    <t>ZOV-1234</t>
  </si>
  <si>
    <t>ZOV-1235</t>
  </si>
  <si>
    <t>ZOV-1236</t>
  </si>
  <si>
    <t>CUST-132</t>
  </si>
  <si>
    <t>ZOV-1237</t>
  </si>
  <si>
    <t>ZOV-1238</t>
  </si>
  <si>
    <t>CUST-263</t>
  </si>
  <si>
    <t>ZOV-1239</t>
  </si>
  <si>
    <t>CUST-246</t>
  </si>
  <si>
    <t>ZOV-1240</t>
  </si>
  <si>
    <t>ZOV-1241</t>
  </si>
  <si>
    <t>ZOV-1242</t>
  </si>
  <si>
    <t>CUST-202</t>
  </si>
  <si>
    <t>ZOV-1243</t>
  </si>
  <si>
    <t>CUST-261</t>
  </si>
  <si>
    <t>ZOV-1244</t>
  </si>
  <si>
    <t>CUST-138</t>
  </si>
  <si>
    <t>ZOV-1245</t>
  </si>
  <si>
    <t>ZOV-1246</t>
  </si>
  <si>
    <t>CUST-302</t>
  </si>
  <si>
    <t>ZOV-1247</t>
  </si>
  <si>
    <t>ZOV-1248</t>
  </si>
  <si>
    <t>CUST-320</t>
  </si>
  <si>
    <t>ZOV-1249</t>
  </si>
  <si>
    <t>ZOV-1250</t>
  </si>
  <si>
    <t>CUST-345</t>
  </si>
  <si>
    <t>ZOV-1251</t>
  </si>
  <si>
    <t>ZOV-1252</t>
  </si>
  <si>
    <t>ZOV-1253</t>
  </si>
  <si>
    <t>ZOV-1254</t>
  </si>
  <si>
    <t>ZOV-1255</t>
  </si>
  <si>
    <t>ZOV-1256</t>
  </si>
  <si>
    <t>ZOV-1257</t>
  </si>
  <si>
    <t>ZOV-1258</t>
  </si>
  <si>
    <t>ZOV-1259</t>
  </si>
  <si>
    <t>ZOV-1260</t>
  </si>
  <si>
    <t>CUST-332</t>
  </si>
  <si>
    <t>ZOV-1261</t>
  </si>
  <si>
    <t>ZOV-1262</t>
  </si>
  <si>
    <t>ZOV-1263</t>
  </si>
  <si>
    <t>CUST-131</t>
  </si>
  <si>
    <t>ZOV-1264</t>
  </si>
  <si>
    <t>ZOV-1265</t>
  </si>
  <si>
    <t>CUST-238</t>
  </si>
  <si>
    <t>ZOV-1266</t>
  </si>
  <si>
    <t>CUST-253</t>
  </si>
  <si>
    <t>ZOV-1267</t>
  </si>
  <si>
    <t>ZOV-1268</t>
  </si>
  <si>
    <t>ZOV-1269</t>
  </si>
  <si>
    <t>ZOV-1270</t>
  </si>
  <si>
    <t>CUST-220</t>
  </si>
  <si>
    <t>ZOV-1271</t>
  </si>
  <si>
    <t>ZOV-1272</t>
  </si>
  <si>
    <t>ZOV-1273</t>
  </si>
  <si>
    <t>ZOV-1274</t>
  </si>
  <si>
    <t>ZOV-1275</t>
  </si>
  <si>
    <t>ZOV-1276</t>
  </si>
  <si>
    <t>CUST-308</t>
  </si>
  <si>
    <t>ZOV-1277</t>
  </si>
  <si>
    <t>CUST-180</t>
  </si>
  <si>
    <t>ZOV-1278</t>
  </si>
  <si>
    <t>ZOV-1279</t>
  </si>
  <si>
    <t>ZOV-1280</t>
  </si>
  <si>
    <t>ZOV-1281</t>
  </si>
  <si>
    <t>ZOV-1282</t>
  </si>
  <si>
    <t>CUST-152</t>
  </si>
  <si>
    <t>ZOV-1283</t>
  </si>
  <si>
    <t>ZOV-1284</t>
  </si>
  <si>
    <t>ZOV-1285</t>
  </si>
  <si>
    <t>ZOV-1286</t>
  </si>
  <si>
    <t>CUST-179</t>
  </si>
  <si>
    <t>ZOV-1287</t>
  </si>
  <si>
    <t>ZOV-1288</t>
  </si>
  <si>
    <t>ZOV-1289</t>
  </si>
  <si>
    <t>CUST-227</t>
  </si>
  <si>
    <t>ZOV-1290</t>
  </si>
  <si>
    <t>ZOV-1291</t>
  </si>
  <si>
    <t>ZOV-1292</t>
  </si>
  <si>
    <t>ZOV-1293</t>
  </si>
  <si>
    <t>ZOV-1294</t>
  </si>
  <si>
    <t>CUST-187</t>
  </si>
  <si>
    <t>ZOV-1295</t>
  </si>
  <si>
    <t>ZOV-1296</t>
  </si>
  <si>
    <t>ZOV-1297</t>
  </si>
  <si>
    <t>CUST-214</t>
  </si>
  <si>
    <t>ZOV-1298</t>
  </si>
  <si>
    <t>ZOV-1299</t>
  </si>
  <si>
    <t>CUST-322</t>
  </si>
  <si>
    <t>ZOV-1300</t>
  </si>
  <si>
    <t>ZOV-1301</t>
  </si>
  <si>
    <t>CUST-111</t>
  </si>
  <si>
    <t>ZOV-1302</t>
  </si>
  <si>
    <t>ZOV-1303</t>
  </si>
  <si>
    <t>ZOV-1304</t>
  </si>
  <si>
    <t>CUST-228</t>
  </si>
  <si>
    <t>ZOV-1305</t>
  </si>
  <si>
    <t>CUST-323</t>
  </si>
  <si>
    <t>ZOV-1306</t>
  </si>
  <si>
    <t>CUST-333</t>
  </si>
  <si>
    <t>ZOV-1307</t>
  </si>
  <si>
    <t>ZOV-1308</t>
  </si>
  <si>
    <t>ZOV-1309</t>
  </si>
  <si>
    <t>ZOV-1310</t>
  </si>
  <si>
    <t>ZOV-1311</t>
  </si>
  <si>
    <t>ZOV-1312</t>
  </si>
  <si>
    <t>ZOV-1313</t>
  </si>
  <si>
    <t>ZOV-1314</t>
  </si>
  <si>
    <t>ZOV-1315</t>
  </si>
  <si>
    <t>CUST-350</t>
  </si>
  <si>
    <t>ZOV-1316</t>
  </si>
  <si>
    <t>ZOV-1317</t>
  </si>
  <si>
    <t>ZOV-1318</t>
  </si>
  <si>
    <t>CUST-183</t>
  </si>
  <si>
    <t>ZOV-1319</t>
  </si>
  <si>
    <t>ZOV-1320</t>
  </si>
  <si>
    <t>ZOV-1321</t>
  </si>
  <si>
    <t>ZOV-1322</t>
  </si>
  <si>
    <t>ZOV-1323</t>
  </si>
  <si>
    <t>ZOV-1324</t>
  </si>
  <si>
    <t>CUST-218</t>
  </si>
  <si>
    <t>ZOV-1325</t>
  </si>
  <si>
    <t>CUST-165</t>
  </si>
  <si>
    <t>ZOV-1326</t>
  </si>
  <si>
    <t>ZOV-1327</t>
  </si>
  <si>
    <t>ZOV-1328</t>
  </si>
  <si>
    <t>ZOV-1329</t>
  </si>
  <si>
    <t>ZOV-1330</t>
  </si>
  <si>
    <t>ZOV-1331</t>
  </si>
  <si>
    <t>ZOV-1332</t>
  </si>
  <si>
    <t>ZOV-1333</t>
  </si>
  <si>
    <t>CUST-201</t>
  </si>
  <si>
    <t>ZOV-1334</t>
  </si>
  <si>
    <t>ZOV-1335</t>
  </si>
  <si>
    <t>CUST-313</t>
  </si>
  <si>
    <t>ZOV-1336</t>
  </si>
  <si>
    <t>ZOV-1337</t>
  </si>
  <si>
    <t>ZOV-1338</t>
  </si>
  <si>
    <t>ZOV-1339</t>
  </si>
  <si>
    <t>CUST-331</t>
  </si>
  <si>
    <t>ZOV-1340</t>
  </si>
  <si>
    <t>ZOV-1341</t>
  </si>
  <si>
    <t>ZOV-1342</t>
  </si>
  <si>
    <t>ZOV-1343</t>
  </si>
  <si>
    <t>ZOV-1344</t>
  </si>
  <si>
    <t>ZOV-1345</t>
  </si>
  <si>
    <t>ZOV-1346</t>
  </si>
  <si>
    <t>ZOV-1347</t>
  </si>
  <si>
    <t>ZOV-1348</t>
  </si>
  <si>
    <t>CUST-136</t>
  </si>
  <si>
    <t>ZOV-1349</t>
  </si>
  <si>
    <t>CUST-347</t>
  </si>
  <si>
    <t>ZOV-1350</t>
  </si>
  <si>
    <t>ZOV-1351</t>
  </si>
  <si>
    <t>ZOV-1352</t>
  </si>
  <si>
    <t>ZOV-1353</t>
  </si>
  <si>
    <t>ZOV-1354</t>
  </si>
  <si>
    <t>CUST-127</t>
  </si>
  <si>
    <t>ZOV-1355</t>
  </si>
  <si>
    <t>ZOV-1356</t>
  </si>
  <si>
    <t>CUST-334</t>
  </si>
  <si>
    <t>ZOV-1357</t>
  </si>
  <si>
    <t>CUST-116</t>
  </si>
  <si>
    <t>ZOV-1358</t>
  </si>
  <si>
    <t>CUST-266</t>
  </si>
  <si>
    <t>ZOV-1359</t>
  </si>
  <si>
    <t>ZOV-1360</t>
  </si>
  <si>
    <t>ZOV-1361</t>
  </si>
  <si>
    <t>CUST-134</t>
  </si>
  <si>
    <t>ZOV-1362</t>
  </si>
  <si>
    <t>ZOV-1363</t>
  </si>
  <si>
    <t>ZOV-1364</t>
  </si>
  <si>
    <t>ZOV-1365</t>
  </si>
  <si>
    <t>ZOV-1366</t>
  </si>
  <si>
    <t>CUST-340</t>
  </si>
  <si>
    <t>ZOV-1367</t>
  </si>
  <si>
    <t>CUST-155</t>
  </si>
  <si>
    <t>ZOV-1368</t>
  </si>
  <si>
    <t>ZOV-1369</t>
  </si>
  <si>
    <t>ZOV-1370</t>
  </si>
  <si>
    <t>ZOV-1371</t>
  </si>
  <si>
    <t>ZOV-1372</t>
  </si>
  <si>
    <t>ZOV-1373</t>
  </si>
  <si>
    <t>ZOV-1374</t>
  </si>
  <si>
    <t>ZOV-1375</t>
  </si>
  <si>
    <t>ZOV-1376</t>
  </si>
  <si>
    <t>CUST-298</t>
  </si>
  <si>
    <t>ZOV-1377</t>
  </si>
  <si>
    <t>ZOV-1378</t>
  </si>
  <si>
    <t>ZOV-1379</t>
  </si>
  <si>
    <t>ZOV-1380</t>
  </si>
  <si>
    <t>ZOV-1381</t>
  </si>
  <si>
    <t>CUST-104</t>
  </si>
  <si>
    <t>ZOV-1382</t>
  </si>
  <si>
    <t>ZOV-1383</t>
  </si>
  <si>
    <t>ZOV-1384</t>
  </si>
  <si>
    <t>ZOV-1385</t>
  </si>
  <si>
    <t>ZOV-1386</t>
  </si>
  <si>
    <t>ZOV-1387</t>
  </si>
  <si>
    <t>ZOV-1388</t>
  </si>
  <si>
    <t>ZOV-1389</t>
  </si>
  <si>
    <t>CUST-316</t>
  </si>
  <si>
    <t>ZOV-1390</t>
  </si>
  <si>
    <t>ZOV-1391</t>
  </si>
  <si>
    <t>CUST-182</t>
  </si>
  <si>
    <t>ZOV-1392</t>
  </si>
  <si>
    <t>ZOV-1393</t>
  </si>
  <si>
    <t>CUST-240</t>
  </si>
  <si>
    <t>ZOV-1394</t>
  </si>
  <si>
    <t>ZOV-1395</t>
  </si>
  <si>
    <t>ZOV-1396</t>
  </si>
  <si>
    <t>ZOV-1397</t>
  </si>
  <si>
    <t>CUST-327</t>
  </si>
  <si>
    <t>ZOV-1398</t>
  </si>
  <si>
    <t>CUST-311</t>
  </si>
  <si>
    <t>ZOV-1399</t>
  </si>
  <si>
    <t>CUST-286</t>
  </si>
  <si>
    <t>ZOV-1400</t>
  </si>
  <si>
    <t>ZOV-1401</t>
  </si>
  <si>
    <t>CUST-344</t>
  </si>
  <si>
    <t>ZOV-1402</t>
  </si>
  <si>
    <t>ZOV-1403</t>
  </si>
  <si>
    <t>ZOV-1404</t>
  </si>
  <si>
    <t>CUST-307</t>
  </si>
  <si>
    <t>ZOV-1405</t>
  </si>
  <si>
    <t>ZOV-1406</t>
  </si>
  <si>
    <t>ZOV-1407</t>
  </si>
  <si>
    <t>ZOV-1408</t>
  </si>
  <si>
    <t>ZOV-1409</t>
  </si>
  <si>
    <t>ZOV-1410</t>
  </si>
  <si>
    <t>ZOV-1411</t>
  </si>
  <si>
    <t>CUST-223</t>
  </si>
  <si>
    <t>ZOV-1412</t>
  </si>
  <si>
    <t>ZOV-1413</t>
  </si>
  <si>
    <t>ZOV-1414</t>
  </si>
  <si>
    <t>ZOV-1415</t>
  </si>
  <si>
    <t>ZOV-1416</t>
  </si>
  <si>
    <t>ZOV-1417</t>
  </si>
  <si>
    <t>ZOV-1418</t>
  </si>
  <si>
    <t>ZOV-1419</t>
  </si>
  <si>
    <t>ZOV-1420</t>
  </si>
  <si>
    <t>CUST-289</t>
  </si>
  <si>
    <t>ZOV-1421</t>
  </si>
  <si>
    <t>ZOV-1422</t>
  </si>
  <si>
    <t>ZOV-1423</t>
  </si>
  <si>
    <t>ZOV-1424</t>
  </si>
  <si>
    <t>ZOV-1425</t>
  </si>
  <si>
    <t>ZOV-1426</t>
  </si>
  <si>
    <t>ZOV-1427</t>
  </si>
  <si>
    <t>ZOV-1428</t>
  </si>
  <si>
    <t>ZOV-1429</t>
  </si>
  <si>
    <t>ZOV-1430</t>
  </si>
  <si>
    <t>ZOV-1431</t>
  </si>
  <si>
    <t>ZOV-1432</t>
  </si>
  <si>
    <t>CUST-114</t>
  </si>
  <si>
    <t>ZOV-1433</t>
  </si>
  <si>
    <t>ZOV-1434</t>
  </si>
  <si>
    <t>ZOV-1435</t>
  </si>
  <si>
    <t>ZOV-1436</t>
  </si>
  <si>
    <t>CUST-144</t>
  </si>
  <si>
    <t>ZOV-1437</t>
  </si>
  <si>
    <t>ZOV-1438</t>
  </si>
  <si>
    <t>ZOV-1439</t>
  </si>
  <si>
    <t>ZOV-1440</t>
  </si>
  <si>
    <t>ZOV-1441</t>
  </si>
  <si>
    <t>ZOV-1442</t>
  </si>
  <si>
    <t>ZOV-1443</t>
  </si>
  <si>
    <t>CUST-203</t>
  </si>
  <si>
    <t>ZOV-1444</t>
  </si>
  <si>
    <t>ZOV-1445</t>
  </si>
  <si>
    <t>CUST-122</t>
  </si>
  <si>
    <t>ZOV-1446</t>
  </si>
  <si>
    <t>ZOV-1447</t>
  </si>
  <si>
    <t>ZOV-1448</t>
  </si>
  <si>
    <t>ZOV-1449</t>
  </si>
  <si>
    <t>ZOV-1450</t>
  </si>
  <si>
    <t>ZOV-1451</t>
  </si>
  <si>
    <t>ZOV-1452</t>
  </si>
  <si>
    <t>ZOV-1453</t>
  </si>
  <si>
    <t>ZOV-1454</t>
  </si>
  <si>
    <t>ZOV-1455</t>
  </si>
  <si>
    <t>ZOV-1456</t>
  </si>
  <si>
    <t>ZOV-1457</t>
  </si>
  <si>
    <t>CUST-264</t>
  </si>
  <si>
    <t>ZOV-1458</t>
  </si>
  <si>
    <t>ZOV-1459</t>
  </si>
  <si>
    <t>ZOV-1460</t>
  </si>
  <si>
    <t>ZOV-1461</t>
  </si>
  <si>
    <t>ZOV-1462</t>
  </si>
  <si>
    <t>ZOV-1463</t>
  </si>
  <si>
    <t>ZOV-1464</t>
  </si>
  <si>
    <t>ZOV-1465</t>
  </si>
  <si>
    <t>ZOV-1466</t>
  </si>
  <si>
    <t>ZOV-1467</t>
  </si>
  <si>
    <t>ZOV-1468</t>
  </si>
  <si>
    <t>ZOV-1469</t>
  </si>
  <si>
    <t>ZOV-1470</t>
  </si>
  <si>
    <t>ZOV-1471</t>
  </si>
  <si>
    <t>ZOV-1472</t>
  </si>
  <si>
    <t>CUST-234</t>
  </si>
  <si>
    <t>ZOV-1473</t>
  </si>
  <si>
    <t>ZOV-1474</t>
  </si>
  <si>
    <t>ZOV-1475</t>
  </si>
  <si>
    <t>CUST-113</t>
  </si>
  <si>
    <t>ZOV-1476</t>
  </si>
  <si>
    <t>ZOV-1477</t>
  </si>
  <si>
    <t>ZOV-1478</t>
  </si>
  <si>
    <t>ZOV-1479</t>
  </si>
  <si>
    <t>ZOV-1480</t>
  </si>
  <si>
    <t>ZOV-1481</t>
  </si>
  <si>
    <t>ZOV-1482</t>
  </si>
  <si>
    <t>CUST-196</t>
  </si>
  <si>
    <t>ZOV-1483</t>
  </si>
  <si>
    <t>ZOV-1484</t>
  </si>
  <si>
    <t>ZOV-1485</t>
  </si>
  <si>
    <t>CUST-343</t>
  </si>
  <si>
    <t>ZOV-1486</t>
  </si>
  <si>
    <t>ZOV-1487</t>
  </si>
  <si>
    <t>ZOV-1488</t>
  </si>
  <si>
    <t>ZOV-1489</t>
  </si>
  <si>
    <t>ZOV-1490</t>
  </si>
  <si>
    <t>ZOV-1491</t>
  </si>
  <si>
    <t>CUST-312</t>
  </si>
  <si>
    <t>ZOV-1492</t>
  </si>
  <si>
    <t>ZOV-1493</t>
  </si>
  <si>
    <t>ZOV-1494</t>
  </si>
  <si>
    <t>ZOV-1495</t>
  </si>
  <si>
    <t>CUST-292</t>
  </si>
  <si>
    <t>ZOV-1496</t>
  </si>
  <si>
    <t>ZOV-1497</t>
  </si>
  <si>
    <t>ZOV-1498</t>
  </si>
  <si>
    <t>ZOV-1499</t>
  </si>
  <si>
    <t>ZOV-1500</t>
  </si>
  <si>
    <t>Ticket Médio</t>
  </si>
  <si>
    <t>Rótulos de Linha</t>
  </si>
  <si>
    <t>Total Geral</t>
  </si>
  <si>
    <t>(Tudo)</t>
  </si>
  <si>
    <t xml:space="preserve"> Quantidade</t>
  </si>
  <si>
    <t>UF</t>
  </si>
  <si>
    <t>Contagem de Status</t>
  </si>
  <si>
    <t>% dos pedidos</t>
  </si>
  <si>
    <t>Contagem de Forma de Pagamento</t>
  </si>
  <si>
    <t>% dos pedidos totais</t>
  </si>
  <si>
    <t>Produtos Disponíveis</t>
  </si>
  <si>
    <t>Lucro Médio</t>
  </si>
  <si>
    <t>Mais Lucrativos</t>
  </si>
  <si>
    <t>Faturamento Bruto</t>
  </si>
  <si>
    <t>Faturamento Líquido</t>
  </si>
  <si>
    <t>% por categoria</t>
  </si>
  <si>
    <t>Vendas</t>
  </si>
  <si>
    <t>Lucro</t>
  </si>
  <si>
    <t>Posição</t>
  </si>
  <si>
    <t>abr</t>
  </si>
  <si>
    <t>mai</t>
  </si>
  <si>
    <t>jun</t>
  </si>
  <si>
    <t>jul</t>
  </si>
  <si>
    <t>ago</t>
  </si>
  <si>
    <t>set</t>
  </si>
  <si>
    <t>out</t>
  </si>
  <si>
    <t>Meses</t>
  </si>
  <si>
    <t>Lucro Mensal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</si>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</sst>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22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164" fontId="0" fillId="0" borderId="0" xfId="1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0" xfId="0" applyAlignment="1">
      <alignment horizontal="left" indent="1"/>
    </xf>
    <xf numFmtId="10" fontId="0" fillId="0" borderId="0" xfId="0" applyNumberFormat="1"/>
    <xf numFmtId="0" fontId="2" fillId="0" borderId="0" xfId="0" applyFont="1" applyAlignment="1">
      <alignment vertical="center"/>
    </xf>
    <xf numFmtId="2" fontId="0" fillId="0" borderId="0" xfId="0" applyNumberFormat="1"/>
    <xf numFmtId="4" fontId="0" fillId="0" borderId="0" xfId="0" applyNumberFormat="1"/>
  </cellXfs>
  <cellStyles count="2">
    <cellStyle name="Normal" xfId="0" builtinId="0"/>
    <cellStyle name="Porcentagem" xfId="1" builtinId="5"/>
  </cellStyles>
  <dxfs count="8">
    <dxf>
      <numFmt numFmtId="4" formatCode="#,##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[ProjetoExcelDashboard.xlsx]analytics!Tabela dinâmica12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Lucro % por categoria</a:t>
            </a:r>
          </a:p>
        </c:rich>
      </c:tx>
      <c:layout>
        <c:manualLayout>
          <c:xMode val="edge"/>
          <c:yMode val="edge"/>
          <c:x val="0.3511585278644293"/>
          <c:y val="3.8276168849069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6.4189038225891795E-2"/>
              <c:y val="-9.0582273073204662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8674588484513758"/>
          <c:y val="0.18475006936433069"/>
          <c:w val="0.44075461680185585"/>
          <c:h val="0.50252521564894703"/>
        </c:manualLayout>
      </c:layout>
      <c:pieChart>
        <c:varyColors val="1"/>
        <c:ser>
          <c:idx val="0"/>
          <c:order val="0"/>
          <c:tx>
            <c:strRef>
              <c:f>analytics!$F$49</c:f>
              <c:strCache>
                <c:ptCount val="1"/>
                <c:pt idx="0">
                  <c:v>Lucro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870-4517-8947-96669F343C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33-4A7E-9B3B-1CD104B004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C33-4A7E-9B3B-1CD104B004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C33-4A7E-9B3B-1CD104B004D4}"/>
              </c:ext>
            </c:extLst>
          </c:dPt>
          <c:dLbls>
            <c:dLbl>
              <c:idx val="0"/>
              <c:layout>
                <c:manualLayout>
                  <c:x val="6.4189038225891795E-2"/>
                  <c:y val="-9.0582273073204662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70-4517-8947-96669F343C1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analytics!$E$50:$E$54</c:f>
              <c:strCache>
                <c:ptCount val="4"/>
                <c:pt idx="0">
                  <c:v>Acessórios</c:v>
                </c:pt>
                <c:pt idx="1">
                  <c:v>Calças</c:v>
                </c:pt>
                <c:pt idx="2">
                  <c:v>Camisetas</c:v>
                </c:pt>
                <c:pt idx="3">
                  <c:v>Moletons</c:v>
                </c:pt>
              </c:strCache>
            </c:strRef>
          </c:cat>
          <c:val>
            <c:numRef>
              <c:f>analytics!$F$50:$F$54</c:f>
              <c:numCache>
                <c:formatCode>#,##0.00</c:formatCode>
                <c:ptCount val="4"/>
                <c:pt idx="0">
                  <c:v>5778.2999999999975</c:v>
                </c:pt>
                <c:pt idx="1">
                  <c:v>25255.100000000009</c:v>
                </c:pt>
                <c:pt idx="2">
                  <c:v>34322.900000000074</c:v>
                </c:pt>
                <c:pt idx="3">
                  <c:v>32270.500000000033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0-4517-8947-96669F343C17}"/>
            </c:ext>
          </c:extLst>
        </c:ser>
        <c:ser>
          <c:idx val="1"/>
          <c:order val="1"/>
          <c:tx>
            <c:strRef>
              <c:f>analytics!$G$49</c:f>
              <c:strCache>
                <c:ptCount val="1"/>
                <c:pt idx="0">
                  <c:v>% por categoria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C33-4A7E-9B3B-1CD104B004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C33-4A7E-9B3B-1CD104B004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C33-4A7E-9B3B-1CD104B004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C33-4A7E-9B3B-1CD104B004D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analytics!$E$50:$E$54</c:f>
              <c:strCache>
                <c:ptCount val="4"/>
                <c:pt idx="0">
                  <c:v>Acessórios</c:v>
                </c:pt>
                <c:pt idx="1">
                  <c:v>Calças</c:v>
                </c:pt>
                <c:pt idx="2">
                  <c:v>Camisetas</c:v>
                </c:pt>
                <c:pt idx="3">
                  <c:v>Moletons</c:v>
                </c:pt>
              </c:strCache>
            </c:strRef>
          </c:cat>
          <c:val>
            <c:numRef>
              <c:f>analytics!$G$50:$G$54</c:f>
              <c:numCache>
                <c:formatCode>0.00%</c:formatCode>
                <c:ptCount val="4"/>
                <c:pt idx="0">
                  <c:v>5.9187641098550708E-2</c:v>
                </c:pt>
                <c:pt idx="1">
                  <c:v>0.25869023669730012</c:v>
                </c:pt>
                <c:pt idx="2">
                  <c:v>0.35157251902141656</c:v>
                </c:pt>
                <c:pt idx="3">
                  <c:v>0.33054960318273252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70-4517-8947-96669F343C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1660457370098"/>
          <c:y val="0.81402416224040375"/>
          <c:w val="0.53474773851325419"/>
          <c:h val="0.1135360232090616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analytics!$K$2</c:f>
              <c:strCache>
                <c:ptCount val="1"/>
                <c:pt idx="0">
                  <c:v>Lucro Médio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analytics!$J$3:$J$7</c:f>
              <c:strCache>
                <c:ptCount val="5"/>
                <c:pt idx="0">
                  <c:v>Hoodie Boxy Fit Charcoal</c:v>
                </c:pt>
                <c:pt idx="1">
                  <c:v>Hoodie Oversized Essential Black</c:v>
                </c:pt>
                <c:pt idx="2">
                  <c:v>Calça Denim Straight Fit Dark Wash</c:v>
                </c:pt>
                <c:pt idx="3">
                  <c:v>Moletom Crewneck ZOVY Arch</c:v>
                </c:pt>
                <c:pt idx="4">
                  <c:v>Calça Cargo Wide Leg Black</c:v>
                </c:pt>
              </c:strCache>
            </c:strRef>
          </c:cat>
          <c:val>
            <c:numRef>
              <c:f>analytics!$K$3:$K$7</c:f>
              <c:numCache>
                <c:formatCode>#,##0.00</c:formatCode>
                <c:ptCount val="5"/>
                <c:pt idx="0">
                  <c:v>214.9</c:v>
                </c:pt>
                <c:pt idx="1">
                  <c:v>194.9</c:v>
                </c:pt>
                <c:pt idx="2">
                  <c:v>189.9</c:v>
                </c:pt>
                <c:pt idx="3">
                  <c:v>177.9</c:v>
                </c:pt>
                <c:pt idx="4">
                  <c:v>169.9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F-4B14-9C60-2A061F5EE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5613304"/>
        <c:axId val="1065611504"/>
      </c:barChart>
      <c:catAx>
        <c:axId val="1065613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5611504"/>
        <c:crosses val="autoZero"/>
        <c:auto val="1"/>
        <c:lblAlgn val="ctr"/>
        <c:lblOffset val="100"/>
        <c:noMultiLvlLbl val="0"/>
      </c:catAx>
      <c:valAx>
        <c:axId val="1065611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5613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[ProjetoExcelDashboard.xlsx]analytics!Tabela dinâmica13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Crescimento</a:t>
            </a:r>
            <a:r>
              <a:rPr lang="en-US" baseline="0"/>
              <a:t> Mensal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analytics!$K$10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analytics!$J$11:$J$18</c:f>
              <c:strCache>
                <c:ptCount val="7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</c:strCache>
            </c:strRef>
          </c:cat>
          <c:val>
            <c:numRef>
              <c:f>analytics!$K$11:$K$18</c:f>
              <c:numCache>
                <c:formatCode>#,##0.00</c:formatCode>
                <c:ptCount val="7"/>
                <c:pt idx="0">
                  <c:v>16108.299999999985</c:v>
                </c:pt>
                <c:pt idx="1">
                  <c:v>12396.899999999992</c:v>
                </c:pt>
                <c:pt idx="2">
                  <c:v>16852.299999999981</c:v>
                </c:pt>
                <c:pt idx="3">
                  <c:v>15845.399999999983</c:v>
                </c:pt>
                <c:pt idx="4">
                  <c:v>11926.499999999993</c:v>
                </c:pt>
                <c:pt idx="5">
                  <c:v>15337.399999999981</c:v>
                </c:pt>
                <c:pt idx="6">
                  <c:v>9159.9999999999945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C8-47C5-BA91-D8D2025DD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7181688"/>
        <c:axId val="1147184928"/>
      </c:lineChart>
      <c:catAx>
        <c:axId val="114718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7184928"/>
        <c:crosses val="autoZero"/>
        <c:auto val="1"/>
        <c:lblAlgn val="ctr"/>
        <c:lblOffset val="100"/>
        <c:noMultiLvlLbl val="0"/>
      </c:catAx>
      <c:valAx>
        <c:axId val="11471849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crossAx val="1147181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[ProjetoExcelDashboard.xlsx]analytics!Tabela dinâmica8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Status x Forma de Pagamento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analytics!$F$15</c:f>
              <c:strCache>
                <c:ptCount val="1"/>
                <c:pt idx="0">
                  <c:v>Contagem de Status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analytics!$E$16:$E$30</c:f>
              <c:multiLvlStrCache>
                <c:ptCount val="10"/>
                <c:lvl>
                  <c:pt idx="0">
                    <c:v>Boleto Bancário</c:v>
                  </c:pt>
                  <c:pt idx="1">
                    <c:v>Cartão de Crédito</c:v>
                  </c:pt>
                  <c:pt idx="2">
                    <c:v>Pix</c:v>
                  </c:pt>
                  <c:pt idx="3">
                    <c:v>Boleto Bancário</c:v>
                  </c:pt>
                  <c:pt idx="4">
                    <c:v>Cartão de Crédito</c:v>
                  </c:pt>
                  <c:pt idx="5">
                    <c:v>Pix</c:v>
                  </c:pt>
                  <c:pt idx="6">
                    <c:v>Boleto Bancário</c:v>
                  </c:pt>
                  <c:pt idx="7">
                    <c:v>Cartão de Crédito</c:v>
                  </c:pt>
                  <c:pt idx="8">
                    <c:v>Pix</c:v>
                  </c:pt>
                  <c:pt idx="9">
                    <c:v>Boleto Bancário</c:v>
                  </c:pt>
                </c:lvl>
                <c:lvl>
                  <c:pt idx="0">
                    <c:v>Aprovado</c:v>
                  </c:pt>
                  <c:pt idx="3">
                    <c:v>Cancelado</c:v>
                  </c:pt>
                  <c:pt idx="6">
                    <c:v>Entregue</c:v>
                  </c:pt>
                  <c:pt idx="9">
                    <c:v>Inadimplente</c:v>
                  </c:pt>
                </c:lvl>
              </c:multiLvlStrCache>
            </c:multiLvlStrRef>
          </c:cat>
          <c:val>
            <c:numRef>
              <c:f>analytics!$F$16:$F$30</c:f>
              <c:numCache>
                <c:formatCode>General</c:formatCode>
                <c:ptCount val="10"/>
                <c:pt idx="0">
                  <c:v>3</c:v>
                </c:pt>
                <c:pt idx="1">
                  <c:v>49</c:v>
                </c:pt>
                <c:pt idx="2">
                  <c:v>82</c:v>
                </c:pt>
                <c:pt idx="3">
                  <c:v>10</c:v>
                </c:pt>
                <c:pt idx="4">
                  <c:v>12</c:v>
                </c:pt>
                <c:pt idx="5">
                  <c:v>16</c:v>
                </c:pt>
                <c:pt idx="6">
                  <c:v>31</c:v>
                </c:pt>
                <c:pt idx="7">
                  <c:v>126</c:v>
                </c:pt>
                <c:pt idx="8">
                  <c:v>154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8-4D52-867C-654111FD6A69}"/>
            </c:ext>
          </c:extLst>
        </c:ser>
        <c:ser>
          <c:idx val="1"/>
          <c:order val="1"/>
          <c:tx>
            <c:strRef>
              <c:f>analytics!$G$15</c:f>
              <c:strCache>
                <c:ptCount val="1"/>
                <c:pt idx="0">
                  <c:v>% dos pedidos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analytics!$E$16:$E$30</c:f>
              <c:multiLvlStrCache>
                <c:ptCount val="10"/>
                <c:lvl>
                  <c:pt idx="0">
                    <c:v>Boleto Bancário</c:v>
                  </c:pt>
                  <c:pt idx="1">
                    <c:v>Cartão de Crédito</c:v>
                  </c:pt>
                  <c:pt idx="2">
                    <c:v>Pix</c:v>
                  </c:pt>
                  <c:pt idx="3">
                    <c:v>Boleto Bancário</c:v>
                  </c:pt>
                  <c:pt idx="4">
                    <c:v>Cartão de Crédito</c:v>
                  </c:pt>
                  <c:pt idx="5">
                    <c:v>Pix</c:v>
                  </c:pt>
                  <c:pt idx="6">
                    <c:v>Boleto Bancário</c:v>
                  </c:pt>
                  <c:pt idx="7">
                    <c:v>Cartão de Crédito</c:v>
                  </c:pt>
                  <c:pt idx="8">
                    <c:v>Pix</c:v>
                  </c:pt>
                  <c:pt idx="9">
                    <c:v>Boleto Bancário</c:v>
                  </c:pt>
                </c:lvl>
                <c:lvl>
                  <c:pt idx="0">
                    <c:v>Aprovado</c:v>
                  </c:pt>
                  <c:pt idx="3">
                    <c:v>Cancelado</c:v>
                  </c:pt>
                  <c:pt idx="6">
                    <c:v>Entregue</c:v>
                  </c:pt>
                  <c:pt idx="9">
                    <c:v>Inadimplente</c:v>
                  </c:pt>
                </c:lvl>
              </c:multiLvlStrCache>
            </c:multiLvlStrRef>
          </c:cat>
          <c:val>
            <c:numRef>
              <c:f>analytics!$G$16:$G$30</c:f>
              <c:numCache>
                <c:formatCode>0.00%</c:formatCode>
                <c:ptCount val="10"/>
                <c:pt idx="0">
                  <c:v>6.0000000000000001E-3</c:v>
                </c:pt>
                <c:pt idx="1">
                  <c:v>9.8000000000000004E-2</c:v>
                </c:pt>
                <c:pt idx="2">
                  <c:v>0.16400000000000001</c:v>
                </c:pt>
                <c:pt idx="3">
                  <c:v>0.02</c:v>
                </c:pt>
                <c:pt idx="4">
                  <c:v>2.4E-2</c:v>
                </c:pt>
                <c:pt idx="5">
                  <c:v>3.2000000000000001E-2</c:v>
                </c:pt>
                <c:pt idx="6">
                  <c:v>6.2E-2</c:v>
                </c:pt>
                <c:pt idx="7">
                  <c:v>0.252</c:v>
                </c:pt>
                <c:pt idx="8">
                  <c:v>0.308</c:v>
                </c:pt>
                <c:pt idx="9">
                  <c:v>3.4000000000000002E-2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8-4D52-867C-654111FD6A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95529808"/>
        <c:axId val="1147204368"/>
      </c:barChart>
      <c:catAx>
        <c:axId val="79552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7204368"/>
        <c:crosses val="autoZero"/>
        <c:auto val="1"/>
        <c:lblAlgn val="ctr"/>
        <c:lblOffset val="100"/>
        <c:noMultiLvlLbl val="0"/>
      </c:catAx>
      <c:valAx>
        <c:axId val="114720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52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Pedidos por Estado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Pedidos por Estado</a:t>
          </a:r>
        </a:p>
      </cx:txPr>
    </cx:title>
    <cx:plotArea>
      <cx:plotAreaRegion>
        <cx:series layoutId="regionMap" uniqueId="{A244A3C2-3BCC-4312-8D53-9EC21B079753}">
          <cx:tx>
            <cx:txData>
              <cx:f>_xlchart.v5.2</cx:f>
              <cx:v>Vendas</cx:v>
            </cx:txData>
          </cx:tx>
          <cx:dataLabels>
            <cx:visibility seriesName="0" categoryName="0" value="1"/>
          </cx:dataLabels>
          <cx:dataId val="0"/>
          <cx:layoutPr>
            <cx:geography cultureLanguage="pt-BR" cultureRegion="BR" attribution="Da plataforma Bing">
              <cx:geoCache provider="{E9337A44-BEBE-4D9F-B70C-5C5E7DAFC167}">
                <cx:binary>1H3pbtxYku6rGP596SLPwkM2uga4h8xVSu2usvWHkG2Z+77zbQbzKP1i96NU9mQys5KtwlxgSg2X
FiYzGHvEF3Gy//m1+8fX6PmpeNfFUVL+42v363uvqrJ//PJL+dV7jp/KD7H/tUjL9Hv14Wsa/5J+
/+5/ff7lW/HU+on7C1E19stX76monrv3//FPvJv7nF6mX58qP01u6+eiv3su66gqz1w7eend07fY
T2y/rAr/a6X9+l7+3/fvnpPKr/qHPnv+9f3B9ffvfpm+yxHFdxEeqqq/4V5FIx9MQUxVpeb7d1Ga
uD8uUOMDVzVCTSHM168fVK+eYtwpnzz/6cefTj3Iy2M8fftWPJcleHj5/vO2g2d+ZelrWifVKCUX
AsOfiqfSj96/88vUer1ipeMTy7sXFn85FPB//HPyBzA9+cueDqYSmrt0pIKbxTnO36gC44NqcE03
BbTw8qVNNME+mBrTKV70qgjxg/irJm6ei+Qp/lJ/TX/8/d9Xx/69E52MPP6ddGIvz7H/Rp1o/IMw
iaapjB0qg4kPBlyCQ2U/lfXqjK/KePXTKn23fP72XDzBgP/cVU97yPE7TBQzMvp3Uszq+pwQ3qoY
/YNuqlSoXH+VP5nox/xAuEEN1TBencX4QfxVP6vU/9d/lj/+9u87yo/7JroYefs76WK3Osf6W3Vh
IjAZOkPm++kL+ymE0Q8m5TpeQ1+v0x/EX3Wx85On8t0KbuL/BY0c3j3Ry8jn30kvN8hqfx4o3qgX
wj8wqjLkE/YzdR/oBT5iMK5p0M3r1w/ir3q5eSqekn/9548//vtO8vPGiTZG7v5O2rjbnuP9rdpA
hYVopKKY+intA23QD5qpC2qSVydRJ15y56fvvj2/2z4lz37xF1L89P6JbkZe/1a6uf8f1A1VP6Dw
5cREltjXCdc+EFRkFBd/Zpn9LD/KdAUngV6+pe/u67+Q5k+8xVQz4PTvpJl7639OMxSpA8JnYwn2
8gWn2FeQoaIMY6qhaX/UxPoP2q8hzHoq0gjp5S+r5+gNJsoZmZ0oZ1FWT9/S8t3HxMe3487l4/3p
zuWwk9lvzoj4wE3TQILFt5evQykw9GhMM4jKTyfY+6ekenpnPVVPBWTxQ0L/fjyf3j8vg//VXdv9
zTkRvDWs0w+cUlM3x9A+fk26NoZClRiGbqh/qG5SiN7/67/SdzdPdfQXQvr+vVOdgMeJXf6v0smf
PNt+7XPwkjfjGeoH+vKlThoDTj+8Jljx343Dfkj/IaU/f5LT7dqP+w6e+v83fPHn0MZPsMeG1y9e
UKI9dOP81R+wyOTWg8L0gM0f7rT59ut7Cnn/hJ7Gd/jjttd4/ENKr9L98frnp7ICBkWMDwYTOjN0
ouoqZzqgqPb55ZJAHkD3QBg3haYLuNv7d0laVN6v7/kHoptcwP9QO6ka1QGLlGk9XlKQPgTqW+QO
gW6REVP8hORu0qh30+SnJP74/V1Sxzepn1Ql3vn9u+z1VeODcl0zKZpJoTFBqGYwE56efX26A+qH
F2v/hypuEhC36GXOq4haA2DDYlXXCUu37sCDCv36T8n8W+QYo4YGUoQyTSPga59cpginDivWSS0s
e/6ti0JtiGTi+Aq7d5lZDF/P0wOiMWGPcXQLgDU0jrZglOM+PdVPwqKP8k7miprcVYLqD7mvB+iw
znHF1AkdQaBeQTmjGtSsawZUuU8Hf9IUzdNuLzbXy+u1vVxKubzYLZe2vdxZ+H1n47+2bck1frJ3
F8uN3OA1ux1+3do2rq3tLa4ttvgRr15uNtf2Gld3uHmDl1rWBu+2XEm8Jd5+fMkyxf2bh+X1ZoN3
k3g7uRgvLzdL6xEvwSNIa/wLfsYvCymttbUGXbwW73izusbbX9g23uoRf9ks5GKBd/xk7+Rm8yA3
Cwv3LBYLa2FZ1viyBe7H+41vZl3ihx04wRPdjeRXa2v722I7vnSx3ciFdWXZ+Blcr1cpmLfwdMvF
+tKylpvdcnxQPNsKd95ZT3jXNV66vbpfr+9HMUFQ4932bhfLkey9hT+fVxmZ0ZipHmosDoqSqYF2
u1teP26WD2BqYT1Z6611P0NJQ7m2b4NT25i6WFUWEalgG0v79tOXa1dey8XnK0uVM3To+MR7rnxE
B0Fr3wbLvMw8MdKBij5t7u6gZwvyhkrWFzv7wrIuzotQG2PDOYL0kKCjVXkwgODOfnyAtUBPMwTo
nOhGJe5Fp5Jkwml8ULi9WF6MBr3cvfwP368fl/CNa9jq7nG3fNxd5xKOs3t8hC7l5QqGtblbbVar
1WK1upRXsLCtdbGGOX++vHwxx0tpXa2hb3ge3MK2bi8sCf9cbG+tiwtY33a9nmFnjpsxFu9xw9Sm
cQLIy/5kP8BvILE5q+aTcH5kA+Mj7JEYEMkTDhIXy8drdwG3hLtfjw4Psd3hayNX+Gn0aleCw+33
dWa18ru9Xq+/t/L2fs5E+Bhgz9nIJADHlUGDeDTK683D9dL6vt74crlajkLfLRHj7PvdGCahGChi
IREDrfFX+3r5YD9s7nb2pxSxbSU/XXxZ4g3AyvVKrh5uGojPRhS526xgd4st7DyTi6unQG7voWrb
JtK+hUE8mvLj4gqRZGnLtb24RRza7sYAc163fLT1c3yiIt4XfJgqHdVgqQjYO/kJMbeReO7Pq6W8
e43MYA9B9MKyL5Z4iAXi7vknoNqYY849wiQHDaJv+3YU9SeE9x2ksBvj2u7evrati80G0Xr9CG9B
sEbER5ZYLRY5wutyCZkj9azHLGB/gnKWj/bm+hoBG3ZzfedK+TusaAmdIEsstvDCT4jaW/kSyzar
zfXm7nnjyue78U2/PFw/+vJhkF9cuUGwQxy6vsOvz8+wRsT8tXV1jxiL77fr+8X9+ruFkL++lw/I
Ip2UrlzBVX+/vLr6/Wq7XnzcbNff7m+RKaxbpANrsbi35dMlEtH69sK+h4vKxXZ7iZi9XUP0NqT6
ImZw/h3iRnIFReSW9Q55eXdhrRdXcPWXF/52jz+PQeHevrj99AmGaH2b0ch5f0eFfmgThuukikCK
QZa8wD/Y7mpnI+XB9aVlb1+TnDVjB8AIztoBZreHZMNGiCYFWdCEOHbX8H+42kh1zN65hBfJL2Ou
R7iEX2wkXojosLwbszIUDcXjpzvcsJFXKAiW+Gm8d7NZXeH7+h5Cs7fW7UthA7Eux6wJj7qC525e
yoX1dguHHE19Odrg9XIMp55cw4QgfkTrpY14fDGq0V5/2qHSsdfXNu45r4AxO/y3Q2CoiHrWIJrQ
daILoYrx+l4wbIbBdNU6KaVBlMbuq6yxBGUVZoPnir9DLf9BhaL8A1phEkImnp86ZeYYNC6lkwTm
wqkVLoukix7dbshtPzSVq/P0jrnC7Bo9uYHRhMHQIBxyFWmD4GZnFLIuTLb0jbZbelGjybdToVwI
YWAKQjASPKSi1YYfFKpTyIB55HfVz+NNlXXDjLEey46PGCUXaEJQnk/L5iKPVK8SZiG7kHnC8swu
rWVYcF7L1OzTUmp56z2c5+wwRY764prKOcEYDX0UGXvpfaswE5pncdMXMs0TslWVnNtNGQY7tTb0
GfZOkELnhz7H5HRMzRMhkixW07gOQSpqMtmYybDM/DqzyiCOAF2/zQq5zkzGiIAYBTrDQ654pieG
ksSFbPwy2NR+oK91tG+XLKXmdVukYn2e3gkr3KcnJrGtr9Ih1RvQKxJtyNax5mTKImh0f4bOKRFy
opkaJ2APiNQhX05sDL2f8lyaUe41VhAMQW9Xfj08UrfJZ4idMEedC93ATINiCG6M1/cChpkXulEG
fS7dnoR23RTkytN1x+LM6G29M9hMgDrJnEGFTuBnXNcnrtyw2jEqn+RSi2omuRmQhV8RIV1/cGf8
+RQpXWVUwJs1LsgkKWgK56HSqbnsCzWyKxLpV2UwEGnGbjHjYIcl34uD6fukJg7WDCIrSg1c8SG9
9jzhroywz38TGmWXLQvz3wqj/vR2a9wneSRIX+naUIMgPTW2WOHwJXaO3Bl3PmXzOrZVDB2Nvsqn
tliamVcMilfIzDfrmzDNAksxEoox+jlPPkkFxg5n1hkXxsSzHO6w3DNFLtMy9iXtUn3pN6k+A1mc
MnXdoAyglIbtnGn7W5jCL/xcz6VSmFS3DDMKt5EeO9/jrPQeTMSrasa5TlogMGOGioXqjE34ChQv
Knyd5rICXraKmvozZ+wLyYlYvF2AQmUqGTOXQcT4IHterHPVc1uOkOE5irDauDRsFmnVjENNut/R
zAHqmMwATq6PiWQScT3F8OuIJ4XMaUFlmdDW4oMXLLIsc1dJm1KZ6XzlOGG4orxqFZk3SS0HlXkz
UeTYYHS4jq4Sgk2rseg55Nf0YzSWDbKMllSRfpuUzCs3Hq3jckaD2uhGhwUVKOmodQgWtrg2LT26
0jU8rUsL6fleuFUj0izzPKMPaVPsXF3ptkWZpYsiTDVJQd/q+tCzoINKq8xN3Sv5TCl0HGlMJFd4
pAkUFYOiidu3PeojpelymalGS2XrmrEuSdW61G5Vl2TSLxr9rqyruJvR/rHMQZlgPwSrOPS4POoJ
7eJaQ6boaGpYRRqE1kDrZEazJ/nbozIxsb7JzMHNEbTR1jV27UbEanNHWcXMlb35OQ3a3H6r74Av
KBiC04WmmpPYbYg2oagoc0l7o7AUs2NWw6pkRnrHwQdUdMz1DJ1qQMUneTZJiROWospl6Jr6XWr0
+YKGZbBS6yj4UvnFsDzP1Sk5wmTH4QhWq44ighOmgx9xZCQ9aFlmN7mhXBBHdS3DiMsdaXqzsjsX
VeAMn3N0J3zqtdvlecpyGcVJcRG0abrJvHrYBbVSXNQGZ5YaBtpM+Dsl3LHaVDHh54LRSfjrMiPO
oyKBcH2Nf6qUuqsXxGyCVZuYaia9RKl+Py/e8R0Pw4I5DiQoRQuEtDitBWvqtgkv3Vw2TpnYep4X
No2DRipJ9/ayE6U0KhidYkVR53ziESEbhrDVWSb7to4WajjUy67iby+mTcyeUZCgEMQAmk30lvRl
mjLSZ1IRWbuiIYtlGIhbNQ+5jAp1xjpPxJIDaqMV7eWr1iV62emIVqofOZpFfRHqlkOKoZ+xDONY
T9juFNgwJKjdVW28vkcIfuxHnjdkMmrUcusZSrxKk1jdpjE3FpnQm4euVZRQxoCR2re7AtZNMK1C
fY2GnE6YFGFnDGGF7D8olXkf5ZxcayqprYzwfJMW+hDIzHP4DMcnLHNcPUKGIEKH3UwSBHoSvaJa
i1JUc2qZUTOSmRZ40lcb5e2x2nzplbF5hjblBZndE66RlX3J3AwFlZc2F3qd15uYVnzrM5OsK0dU
nozysp4R6wmVAuIA7oBCxODkZcqxR7XwcjJg0R/xutaJKyPfN+zWT8stT2l91bE0kIlhllbuN/4M
6SOzHZOuzijRsMmCHDjRKHfaJMtzRBQ3MDJJ1IQugcU0uzfGFlAB+mCOPRnKrWlsKZyOFu0Amx38
SktlWQeDjRY3WtNMJJfnaZ3iCNEF5achgOVokwo1ZD7zeVZlMjSTLpN5rQyPjUIiMWMqR1Y58sQo
hcqADOjTIOYPQWa0ap3BKsPeLrOeXahRHW/yri5nYsspUmLcYaX6mGjFJF5WrZOkaRyDVO6WErCH
YmdD/9lL1X6mODwlPNRCcAGNq6YmJsEljw3P70iWyYKp/qJQUOt6rZfPOPQJKmOaQWqE8FQhJm1s
6QrPzH0fIYwPnVT10pN5GhtvVxAK6hHPAw2DTCd2veZmJCidVLa8QXGJQLVIOyO4dXJ3+Hze5k4o
iAKl5AwZBzPkl7nCngMLEuee4oaZZHntLKuwKq2QNoEFSGRmFnNKdPuUxut7lJK0z52hDzJp6s1v
hkjoIiFONmNvY2Y8KAWw2QZ4cox/iLsY8R8S0aouj1NNSaWmp+plHnT5fUzbdGO6nA0ybbtudV5+
GjlFUSPEpIxpoDqx8CGPgqjNQZG5JgSYa57dJUloOWZDIulxx1snXeMuep+bq0TNyXelV7YlT7Kl
R9vw7vzjnBIyFKlzbDiMJ4wm/LtJFNeGA8sRZjPYSqYEC0AEz28nIrhOmMBpANjNJKvpeTv4ZcZT
2fkF8a2+DfTKLlUz02f84JQ2BVYREeRNxA9zNN49k3FYmKi0h3EmQdJZgUd1qbbKUuPNOqmUfoba
KdkZ2JQwDcGwMzwtEequ1Lu4STMpKu5chE2fbzJEUfvtwjMAeDDUQKgjp8C2iERBexcRMSjj4jKt
vXjRcerPwLEneIHY0EQhIkJRU8mFSaqEpu+NdarwrqLWZJbmc++tUBH2f1QgEAgb6G2Ml/H5nn6M
oVEqZbT90KfxLu47YmdOYszE3GOkYySD/SAuMEtB5zYyu0cm1oeUq7FIZVA7/qXSG3Sp5dE2bbkp
dbW5Mlp+lymqs8g94VwA797qZpbN5JexnJhEFvi3RjEmANpiTAuBIVdrs3IjFAJ6Q7RF1XllcsM6
rjaXvG5banWtGfmbojHJHEx7wg3QDWAXi1Cdo8yauIGSelytYzOVfRzQ0PJUvbfbzL+kzGVWXTr4
75ttFMmHAIPGFiaEPolpNRFdPKiIIszzfNmWtFiKeJjzhPGxDyWqQaVAyGBBLydZDtUKzNntCgG1
6p7vWpEh0k2fDGLDHNObMaFjCYKUQVEmov8g6rShQqzU1YJDgmnIfcXu0yg3pIrdkY9mSfk3r41b
Z8bPRxlNuYPnjUgjwhfDltyB0Xphzjs3p6nMklixmZnz3/K6Hb7ktYhsTUvIF8Ag3UXm0XQdF6R8
PK/CY3PVKAAUgk4HlSSi2iH5OMlVt2nrVKpR4dqRLr5FhXjkCQCq3ExiWbO5qvI45IwU0bRimgaU
lU68tGz9wCdanspEIWha87pew1WSGU0eNRw4rsmA38IRcH4Wg49DvkhQYQsurVJZBEoxWEbi+5/y
oY+ZXWQOu8nDZvBlaHjAjEQUlXM54oTNchWnssYaEOjRdH+wGDIRJhhvSyVy8iV3w76yTEfzHtKy
oMGMG54IfBiVoFUWQP3H6DdhlhIlZG2lwvH18gZxMXzQHDO0G1ZEms1Kj9+HNEar3DltWS2J4zhC
KmWZf/QKlmQz/dYJyWMeix1NbF1r49LoRPIRDlEPeYtgn3tw16auvrQ66vlE7UwZ9U64K43ftNz1
3pzKIASM0YGcYV8TU8ZDumpsRjzPYMm8Z1FqVa5Dh5XZaH45I+5TukXjhR1UinZSY+P1/TSTJIGD
zdNUumXtfGz6gIpFr5nOReWzWszUjaeImYCtgECaKv5NpFkxQjylClM5AFnfZlpaX7WJUOxGT9uH
86HgRPDTRxIqBooCwz56yJfmMN6LBHyJQDjfgkrrPxqVaFZhEkVrDDS938/TO8EaMHpsHXMgAgZW
BQ7pRUzx47pPEddTYdiKhwFmUbiYqOOet6vMwMgZKRGsAS2e2Iavx5lbVkEqzZ4VrmRdXTsY+yV0
o5EEWOB5xk7EVAM1FRujnDoCjoeMBV2iR26tJFKL48ByUq8MpJJj8Gc5Rkm+VX3RqKscuWamczpF
dzwRDYovyyQTW6mrVosIFaDbJkBwutpnV6THoLFIfO9jm7L00mg8Zaa4O6FGLCigBBAovvDDxB0a
0bC4UlyEugoogZPAy7MwTy0hSn0mtJywUANxjmMxG6gxltIPBTvQthZNG6fSKYfBiuqBrHq9MdZ1
4QR2m7jKDNByijW01eP4BHgxmsVDenkr3LwzzAQjTqZviDIQO3Z5ejcYfjRjoaMFTsoAA1UUZg34
rAfIcpKHmZ6Tyu2dRKquH12xAvBRwLi3PG+ZJ6kg73LCMQ00XxLJXuhS4yyMdY5okgdRvsgd1bjw
FK99MxamYegIRMIAiMuJGFvhPSqlh9Gb3megEvFOWNhEj/o1CzBXs3tuqPlMiDxlFUCoxj4GRQUz
JqJT1UEvah9xS6mq+6YabuM0b6WOekqKPMhnFHWK2niWFCtUgInR1x0ylyVloNMMzl30ubtN/IIu
y9AVG7XrsouhHeoZ7k6oDBEZSLSp4tMQgDEe0gsFydoOhwJk22QZ5rKeShrbTTVnroo4YewgMQJj
wGiZao4Psqe1LmOaV/nw465pRGzH2B2wRZgavvR9p7g/b4gnpAghYjSJJQXTxHj6kJjTaV1SuUYi
ddPjiY3Hyb8mBeOOdBQAuUD+mff26IiMDbQUNQmmw9O0PaRG3HkdSWTQ+I4VKq7NiOMDqeXKgjlF
J7tOa+3zbJ6SKYpqPkLQI840imFPpl4VKFmsMNSYZbQlmCYuopi6MmRkDmCfozTmhj1Keoa1MGwF
JTKrK7/ZIFRX0SLpwyaz/DCDKs8zdiLVmGIcjI61CXLKhLG4KozIK7VEVt1QrYaeKzeD7ph2zst8
oXRmvxW57/z+F4jqY1iBO6BbmhAtYrPVfIMmsmwhRB+rIB/jXv/o6UmxVPWcLtvSYzM0T7Rn4+lP
REwVXT0w90O5lsaQlgEtEolOSZOul2zNrIt+7x0vwAcU0fiRx2phc0UtNqTt4plgc1xLj1MhhFBU
1Dh3NXV+laWiozhjK2vRabc1SXoZeYX7pDh5vRsMxVmUTl7ulKycyXyj/x2mo9Fc4SmoowEoTNNR
UjHTr4BPSodgcQgjDXcR0IDcnlfocRRA1ymAQ2KtDDjaNL82Iql9n3gAbJzae3QHr/HsCp/+lCyZ
06WPVc3dp/MUjwU69rmA1ISOHMinccerYsVTC1QQceXHrcz9hN+Y9RC6ssBYZclpwqVIXLWRTuYE
c1sLp6i/VPEaHz8Zgo/X95y0UVLV1xjKUDXLvMgWChwT2H3qtZbZRr4m/cQZWjvr1CxcAyzWns9z
fxwkKHIIzulhLEEJkNJD+jomEiiTESRIF9IN/j2FGWtXxDOM5ZspASIFMoRRzgvAfkgJvQMxhwhZ
MnFMkdjJYLS9NEPM9Jd6w3tvJhwdeymFHWFhdlx3Q2CYCLYMlDDoqhLphET5NyQQO2yD0NZCBwhc
laQrN+7zz1krslXQU/bbeWaPnQXUAaWPH0ckNABiE2ZrXQ/rEtSxORZcaJmuSh4k5M0uOVIxMOjH
tAcrppNCAB5iYEu7RYXYKuY26NlVY3TK5i+wYpDR67HtaU73akrs+inYSoMg2yG7wVK602MIrTZz
u2AnPB/gNgFUKUysDk7HSZif8rhN6kS6KuO2meOoo6nF7gb7ft3WMCrlzSUpFs7UcdghcJL0aCOs
dEmf5qOKFCWgi6gxoisO3GsRux27OS/CU7aIzUv1FbDEXvqhNcSBr6Lf6pHzRVtu1CBnFsCE2CZ9
G22yslC3Oebtt7wIss84B5fNuMKJGIMyDiIF6oSF+OluMI/CBqsfKL6dzlWIzIEo3jAjEsAxO1E8
EKLwRnLm5w/Md/tihvnjugAVFo6wjmNjg+nTjalUGTKMlCPM1YZU/Qxl+LpMCJzRqj03KrHqGIZ3
rtLxvxBwQBj7BVAyws4U+698v8zdBk1Ar+WlpeAJN40xeJ80UYcztevE3eF5JjZ6NIEGADEcld2h
gp3GS2KT9b6ttiW3NSMqV1raBDMRdArq/UHGQDxTKZx+2qvhWHms+pT6doAZRWVGtd24g7JI1UCx
cr1UrzBPTLYhVW6czumWOaadt05dvdGcjx5jEtxYprYVilvf9osilh0XxQqFYbtKRUzt0BwWqU4r
CW8G8IZlxsV5Z5pkrBfqWPDDxooGJBUIzqGsi9RP/UDUvm24br3lud4vVLdulqnfzI0ZTql1n9To
13vJWR+o6Hnc+HZtmv6iopFhk65MZ9Q6CXwvDJkjMGygmkPjM17fo6I0Xsg9P/Bsxy9Eu1WxBetY
ZZ+FxYb2ganei6xy3ljNjUSxSQ9vxBlzfBSGMSliac/ygqema7eO5+441pvsEbmaKVZPsCaA5xEc
g8B5HDEtlWscFnEUAEy22fVGfFFrEQ3XFY0FWeO4fokzQCJDxD9vIJOA88IaRpfjphZooxk5lGfq
CMfze+bbcacGDgbAWe0PlhjKVitk2InOtCrDa9qVW+eYtp8nfmQymOfD9rGtgGV7xNpJSi6aSjDF
SZjF88pdq4XTWzoWX2eoTCI604GiqwRlFMa0FLPgCZU68nGAJSWa5fq921g9jdLrIO/MhaJ3yqLs
ka3jJEuWlAzuTDg/cj+QNjB8xj4cwThl/CDGfWs1g1R1wiCmlqamnnZDeNbkv/lVRRQmseNSVjPT
qFP04BfI+ajlsK4+8UFvYBFxlIxYfcgaGbWDYeNjHyKL10Nhn9fdCVLA7k1A+Fhwgh9OWMtwoqsI
sVJjOeg6Fk6eDHaHvIyQlhczCpxUBKMCsQWBETv+CXxM0MRGg1DPta5uwVWppheek2QrxRliiyjC
vasazPidtg6sIO7oZUt5O6PEI78cyWM0gqIOmzuw1EMlEsU0UQN7xIKRGitlqIhkegFgWlUo6oNU
vT0v2WOvoKiwIFYYD+rFl/O/eyEuc7vQCRyENRKFbB1GSbPIfa+aEeoxVwdUyMQrQpOaSh5Sx8JE
X1iuoadW1GHzTvPM26ahfCbOnCIHdHZczsZBCvB3KESeADv1Dd21EcTUJFhmrOh9z/J4RKNaGgnr
SbLoq8hny7dLk+IkINZgsUAJAOuQsAeoETv8RLGokeqfvRBjzLR84zoQlIRPO8FSNBAdTIDg8YdE
orSPPHyKErN6sPPZVNPExhQjm0Hgjg0DByBUHQgcOhnU4hMZBvhYAbcNzMAmBFMfbvjpQvF9bfNW
gYHKiBFhJApgagpNlSltvcxQAjtjBJUZjrwufbWcs4fj8KEjJKLFxRFNTFz18fqekQOqd3qaG4Gt
NH0qPU9Femu1YN05GNafZ+goxY0bTaip8IGqAoeFpimuSMdTtr4f2jmOin0dwjp+4NzNl3nAO7s0
UmXrAkSdsfdT/GETgmJ+i7UAHH095K8YIGA3hxQD38sxMsYqe0kSITtFa2c8+RQpeBTyC/oV4CIT
s+CR1/g4+oUJzkCr68xLYyttDO0zw4Lhm51pPL2HHSQg6iOsN7Fzdcj9PquN0M7aIV2ZZfS9oPrc
6sGxvmAP48exAmIabWQSb0uq4ZODcLIVBij6j3U6DPagMO8S517Lnepl0S4ZlGJuNnbsXIdUJ3HC
0fsUR7Yc36ZaM6ybzK9WadmQ9XlbPK5FMNQEgoa0iSPomG8emgXvej/MFTQlilH7N3FYD7IXXWLF
LCMXmhc4sfRbh66ZVzlP50mfYhBJDJ0tQQ2ERetD0t1QZorSdeiHdL2z9ZqEl2GlziFJJ6kA1MZ0
H2gvjpEdUuFBjY0nh/u2IE2zpFkaYodMm8N1j00ePQ0CIR0/OQuzuElTlQo1TrTKC2y1Hpx6lbZZ
SZZDUITxOo9JVc2ExNGs99BcsAFyOJCCD9BCF4Vu8pCpxk1Yng8ssJ0hZys3zIfbhPuRHRQjVmXW
jTljJidcAKgfVnBG3Bzl8URXXsWY0og2sA2BaqOqNMyshJIaazQq1bLBXvllI8oyXpw3kRNiRTzG
0g2o6siZE+VVylh85U1gu0g+S54Ew8bxa0C6KZr5uUPzJ4SK4l/HSA6Oh65qIlQzUXthunlgl1Xl
pjh+htLPwvaBoVu+bpbeOmSpH785LANoxOd2jQkOHxNmTGILE21blnUd2wmGoRawJedBbyu6Hmja
fD0vzBOegMEV3BxAMca50w2qqhaYAnhNbGOPXliN1nArGsxvf4UIkGjgHDgKNm2HVS1zsc9XxTYW
oNuFl6iqnbTmMJNBj+wC8AnSGOZ+wGzGRddD++/QvGG4GKQ2zpbntxFgd1sti3bl9Zr++3mGjgIk
7J2PAzFUieP/YcAo1b26ICmSYlyuzu0g5fTBwWaWs/GHHodc7dQpVNNG5m4Nz2JtloePQVubdMZE
MEI9Uh36J6xKokAeN0FwmP7wIdDOhTj0GeaLnqshzoErA41IdNNEQ+mGlh6zMh6k7sdDZEqcnyyD
SKpGrOqhpWF05+QL01e1WLsfYtp7T36IXQy2aSMjU37zRAKE4nenD4MkWAulKZVvSRwojmEpvuoo
gfTDJgmDhdq6qkMtr0+aXLWrBuPeYFWZQUEfmi4zldTSPa8dX+8NOf2cCy+uvmv/j6Pr6o5TV6O/
SGtRRHsFZsY1LrEdOy8sJ/GhqCCEJCT9+rt9387DcWYGxFd2wyTq+BWzWOY/tKi0+LcxamyX2TCn
p4Ws87a0S2oWcWPVMt8k1VIuIMcWF979JA0IcmlHvVTnjM7SdiFl7mhaMGy1vk/4d1rCkk+8fgO8
k9HbcnR78q/Z4X16ZVgI86VdYYtKZYcrI6recbJYiS+/+uFG6UWYDsytPH6mgZSwS65mGYZegCRn
3RJMo189zfXyoNeC5Fe8aQYAhPgta/Gx8WDz2Ofb4aviSm9xjPnJuMUT0/GEN7S60tNOjosRkFq1
O2Z+P53SMNcw04pma0QbghqSfp2GPDyvNqbyH1eyzOaLQVLgr23HOut6rldFfkAvuw4/zNxEiJ1t
us9YVNyOr1pCWfKe2jGBqTWPUsafqlTQtDYjoiNOfk8209mq4MvT/p1DI3qSE9v8KoZQ7b+V1Xyy
HUAmaX/u6wLQtXVy4XrCKjs06dWUZ8Y/l7M3DFvEGO0GvnJJCF1anmkbf5W+4uPrXNRuI2ckCByO
X3Pr7PRUTVY518I2U9On46hWfrSGj0dYum9WFjP2HEq//tIVHPvYu6RqzFsM+TH4dnZFJE/1no/8
L0XHzsZOEFKPex8PvWQ1GP+ksD/XckqKryxGOjKA0vs2Jd00umqZurl2Ot27YDfkXvZjsx4jPh4P
cvOyDEFAs25VWcdLGAspP+qCJQtroZeYAnoLt9XxG7XSZUlrLGXxcbN1BlSY7E3Y8zZbpC7Gjo0m
t7qd65gNX7uWWYGjPJQ7bAskhDR5r2mIOzzr1EftunEhW/hQUxPTmyNTNL5Sqe34M28GI1/gbvW8
L5qBHB1sEbFq68QMsnfrHJJ7gUgnGP4Bxsc3TqAeMf1qS3y4PrbqLoSlpG9mqW0818OKCtRBdrdP
SQ8rUTqSqy1wMK+t3GgIH5IKPKhnkQTENLQVSyIkInIhUie3uc6EarpvCrxJ+smQaXenZKoBA7Yx
Y+ACbi2Bk7PpUids/FdMBCxWP0w7VEBtuoZkpWdIhGQNx1xKYkjbJYny+IDCkixjC1f5IO+ybCRQ
qSLnB7LkNqz1yD6LTXs1d9WYxOS5nBTCE+DaCUOztNFAImNbFNjC/hVLWKapJdnYaNt96yH2/aZK
+UbND7YmBdfX2vBJ2Yv2sAbvncNSUJW9ysuhuJP5UgqL7KJ5ktO1QbVeoJFOG6PaHBk2RZdRQhTr
ZnvUKruOuUD5eh14Eax9lizfWHPaZVMd6aseVuw+mO7qIl++OUlS3XsTvb+tIRras5MaIz3aowk2
Pe17QCxQ35Bj0Y9i2cJ2tSHPY16gKDQrW1rEqR/Nv1pk4DzOZgnlf0bNR3WbJmxPfldztq8vooIj
H6o/iJUgPISRdP2X5ajJbeYwLXSHn527TUokF74ELMj2LTGr5hfOxzK73WvkUXUoX8mfyggEHM02
qGs9RH45iiFFSMSxjWlbjsd4Xw7Z9NDAeXDOeMMewKsp8D2iavbipZ4LwU6Am7TPWpDe6/RQKnfA
vKvyjZL3LAf2/Re/ac7fTbnsgAUsIc0FXwuUQzoxGzroEHh+gdw64bd7kEPRlwfG9I4tTba95zar
SdISITZ1RwrW8OeMzXy7S9GBh8eNzj7cod6p90jTML2NstmGv1Wca/G0MFJXT2ZLYvMOLdC2nveV
zFU/pcqFC2bVYFrnJUSjp42I4Wtt9lQ/QrY6i7MfZ9/8wZFdceaGFHKXJ11mUv5rBrqUMBZqXIfT
Gp3Ov2bqgE63ZNUZTjXOSOKfilyAniIymPKnDHGLNxNZKKz91A+cvQ1jbRJ5RY+93KtzUujRp1ce
i8Lgu3jUi/7P1eFIvhyjmzzayaTUkm43hGZ/Mu29zeGgl76MPRwabucdkpDG0bdNM80FvBrr9K1K
1VO++b0rg9zkV2VFkvB2rbcdbtlpzEzzudElUW/VTMWMiWHFQZ9aKMNimXVsDXkBZUpqhZEopLXX
l7p2HB508B7b/UyKI28hlEFkUL161HNID3b7IaAL1S08VLNFaUxZ2jHoQKCxTFcCIsmvM2RFCZtp
/eZHEKdvw0HEv1GqpQZayR0DGqzSt5QAMetynMW8q7ZRi7+7jfUzBF7o2I1IJv9UysNfjXi+hjs2
5ZPsUH229zoF8YsG69jHDlHPMw/r8q+cCyOu1OrzJ3Uc5ROMp6P5f1v4GOtUe/gc9/JGHttkf2JS
qAFJT0UjLltEuMUFgSaDOSXVQH2Xr40uruKeQNYCua94W9MKNytEcq11SNIe2OiUtJNC4kEHIR7i
CIqN8+W8lMVwh+0miFYJHj9ngv59rUy20ZOa9gMSbGPESW8pO5d1SOmZJnK8YPlAaogKTCUQtQ3b
1Csh16RzEI33GuyFvRxobx85tJi82wb0mK5gDjdlDhzJQA6qVtMFfVh2vc+uCi11NbRjSItrRiQI
+cP1cyC7vxkRexHaZZHVFRPaeETWHHXaJwRtqE2/P6qza8ag+UjtQDudriXpc5/5FCK7cXpGuct+
7fkqXZuFZn+lSzW+FqMf/pvA7DylGvEnuCKEJOdpXsEjJZVO8DysS3O0Tb1jWEVwjCrv1CA8e1rX
KPdLRvdFXfsVHp2zzU3mXxmc5ltPt4rM7VLsB2igFUez3BtBT0Ook7Vb8DcP3/cBSHhgq+vMMGRZ
hxllrXoaMYtAlxgEmshSCdeW0mafzVGI2zFfo++hbJ7xGxJv8stM4gZXeZyX3ytuzdzNByfnHM7v
At9WQlJUFEpC9idY1mHZEeeFcvwnYFjM4COr5dTmSzq+abYswxUdhyNrK0wqkGAsdbN2TcrVA+Nl
PZ2rbEGmTbPb0pzzdU9A6TeRNe0a9zV0k4OytyVFOlE8+iIpTtEK9XxUuyh+CjYuaXeUZDGt8JXa
WzZt3t8X1ahgtR7zZuzkeFRpv+J+qh9bTLKrdVxEcb3m3A/4I0IxXVY2jW0OZ5BrTWVQzPY4U36W
wpGHDNKq9U+6stCSGjWz3Upvx34aN/yzOasadnKNw8RXVnMxQikuq9uGLxW9YMatiW15I9kXi7k/
vkoEr7wLrtBPlmme817uTaPPJo4Jfku6yw7TEkUi9wG5x83gdfGWFWGvb+QAH0A35W58jtUok1ZB
eX/r3YDh0h0HhjwXVZP15UpH3yF4qkHs4uTnx7Bl2e+dNtPdzFdBW5Pko0ExbJa5k4NDYTxiSl91
loTfZGVD0xJH5/Q5swaRBQUkDuKd6c0BG2O7sfIHHssQEbbo0fnKYU7I44S59iVagmiXZM3m2zUt
bNOtSP7GwM9WNvbjONX5FW5V4c7RTseOoyqbZwe7yXIa/GyGdgRHPV3NB9nKM4NUh7UONqbqPJgB
cHAkg5jaafXpOz3ItyAKbs7lDBByPzW5gxp08NNwiZlLkENUjKO4EMzT6te05Eer6orN3T5a1C4w
GxUT7QGLpLjS8Ls+AnvLeA/+yKXXW2VSOMQIdhY8X+VM3AUB5365krTW6hazCrY2htuyIN6vwb+T
LLbY+91T2OFhYJl+gdYXX1kax3+TWo9/iH+ZPo+R8TtZQJt3zrGlP8bFshc5EO77BAfq3eYy2S8J
y+WLZiRBzRRpzM+VLzmGgmRoSF9goMgvZepTdp1zsb+AZy/G2GHfx/YWjcyfNTx24QQHkuqnYSnR
Cwi6VgcZL/KxBk7rGcOgxILqeF4+gpVHOEWEmak5Q6Of6DOpdOVfF9nU7NpQhnHYuKQ6Re7Qh9p9
lrk5KeTVzW1JyPSxjHDOtxCtJeJlseHYeye2Ib+gFK/3EFEMsPjmsYTtxjZlS+OCrAAIKZr/Ep35
/xJDmv92WmCzdcuwhc4mtgBpWe/oZxDY8Rl7iMhOQ4H1HLqX78BIn4rt8zgOOF3GKRes3ZuY/wVZ
gh3INCnDiEz0az1U6x8hA8lvcrjTL2lS1nMHOFtvyOIACnyGc4WpbikGaE+maUvf3Do4PC5rHH+X
Uh0/ykiHz8YE8mTzzD41pDnYRWHigXzSFHAVVwKk02lelu18ULHPpyb19dBOdg73x8Z9cub08H8q
RJKytiDB/F1y5CQg6UXmZT/4rLrwRLsEwM0YP/eEOljlVS39lWN7/uc4qK3g6Qnrp0LxiKfK1st9
tmTJf5kVxw9HgIOf820vP93Il5epQEoGLI18v7HliBGpAJni2gCNj7viEOGGfjtm8Z/fEvJH7n7J
UN9C+DmvBrEs+xr59LDMGwVtKpz8SvmuQ3eEhrFTIJRzKDe5vSXCK40FIWz/jSUdfodcjU8WLfyx
5JP5mExRi9bhqv2tNqNvvdhSzPoS97xFBotPO84I5kDOp2/bLt0hW0ho4HgXwTTZH43GGt4unhls
VWH6XhPqYn5MM+HlWSVzAUQ+RaLR2e3B2XbZ5qK6gLlMP0rDihL5JDt5oLrA457BdlkBqMIO33vY
2nVLK19hK4WSoAbbREJzOnIPCwfzfr2J4Hzp+ciw2J+yzYD2NNSYS7XgWreNEabsVpvZsbV7hUM2
OEofhq2e3qC84C9HZoEDYfGze5urZkvaAQkMZSvK2j8zPhZfbm34/bHP+3jjJ5LTU1NjiDlrL2rT
MfvNqCRDOl6nW8XN2fumeUFPX+feFbO8XeDwNtd4I1H5e3U5ufcLicU5rafp14iB1d5Uo26ep2YI
Ht5HBo8BMJZi6MK0bac69RW72lIql26kiv6rt9xDBCQHfkujjm/0sMp0uthLicijQI424M5cBKjI
4+zcFN+H0Qd/h2pRiHOTsewkaG2OboNkAuOsGrHcDfjxuDqhCe9YuvOXguXjT6Zh9G1nsxVZOxLM
AH3GQvIfnxdxC7vfdwkHelWetZtV1cFFYx4rExzCe5HtgAsQj7KLsGU9INct992kYilbV5NyO40Y
24uOcJpcF+7Az2xggkAWpDiqqsXzTP+C4RteE0X3XxRy+t+gCcLtyO3iOzPx5ld9uPUfkED+qK0S
f5Yi5tcrfqbuwJJj/fVgiZCWAc0/dHBHM1zncuc1PtcGnCgymOM0JLnL2pQOG64sagZwkKzYnznC
PbDsZ1BFoHpW26PDlnq0CPJd0lsVSPHbhb24r8oF7/ecGf2VV6DQ2p1y84ftSJ5qPQf+2e1iLQXK
3sKzVtu9/gTDjCHZTs14F4vN6zbgIt7jZR7JDGuVt3fKjhhSktSmfRgqvsLWtZGyDdg7PgikWR/1
XFJ870zBEgLhxnqhahlYG5z2WIFgK8XyH+d1uwyCHPdD/f1ikBJUrGm3KavGbp/W2p4wNQXZ0T0u
75DpD4+ZLQ/XCuxHsRPj99S2UbdeyRKZhK1TZbV2Yw7D/k2tg/7MXKAvZWwoajeJ8mmVpv5VjHka
rhs2shdllvWvgcT6HvERazjP5dz4dkUKxnviAaS2GTowzP/zlj5zJ9EChgnRmSixZfXkZVL9srnC
KgcVMX2bnEPrONYA10+pmec3JlnyW75jScbsm6+2z2VK3ud6RTQddoYBC2lNEea0Y2q5ExEvdGkV
5Ztr8YiXfwg5+HiatgPhRws24o6PjD3IHPsEcCBwyhe+DcudjghKuAykSa/rnVVfo6DyBvp1TDHc
YcRITe1fgCxXWw8Z8nB0vib11NeFgoCeAxBDXCZ88/czyKa/BzdNeTZmzc5F6TDRS7PEucu03j+S
7WgeS4j7oLWXiCRpWSG47hrkP96CylyLFsTb/HMUzKhOGZlxhLI6zF41gqPy1uSj+GkbUh2dOFQe
O0NTf0frMTRohWZ+rpHEW7VCmbk657VNz7jHKmJyg9VZZDv5gLgIdneY3rO9L3ix33G4444rBpbo
pSKHnm6QHInmOGGsnlrUInLVTIl3l2RUVdXrooZLvRhRZCjAspsh5fFhN3xrTtFP7DbIoAssYEXI
24aE/WE+SnQ1WY2gMbnV8mquQBSdIpSH78Wg4ufW+GTrcQ/ZnfUmS/vm2HG4ORvEL0OY+tMITseu
xITyFyRDuF+qw0w9dmb5w/hA+GOCKAYzPjcKIHDv19zgzTyDnfVHmgeBsWO21P6gQzaWfS3rLfxh
kSR7K5nBU0Bqg7uQYFTHZrjnLL98CwBgcZ5187csZi1Pm97j8XEMNv1Zgzi8Ci6Z8OBEZ99XcTR/
hV35dK5TKd8Qnk5/2ZUsujtyIj6SGV23TbBxv0ayNAheKpv1nOoSp7Qp7cFPZLdNffJ2UPOVBta9
t5mkabwbeYOZJWIt/lnSHfBi6jMkA+QAsHk/K1b7FnGlqz/V9bIywBy5+Mk8ghMQnx4lab2e/Ieh
C8bQrEpldRIcX6Zf3YaP9vVW7X0Sg7/H8Lxhlw08bJ0Aojef4M4XApia2j5JcGU9/uXxG1IIybY9
1Qup61OGuB4MG8cWji7OhQQyVVmTdCT4uKKpKK26FZz2f1moEkT/4j7M2VXRHOr3NlgknQ6V3fIO
GDPWmlDlFkgPKVd1s9OMcMR05jnQIYTrASXWahKdjLF4tMvB7lxCDtl7c2AVGiNke93kNYLkJ23U
cc4yzBhQwIyQAQslNANB4+Xzom2W4H936480XzC3hSUm4hyB+tKulHP5JDhUA60PVgFxY6L6gVi6
vGqNKu0/GOK9bQGGJKovcZtVLzSZAFipZnx0AcE4LYASllwcVLtHX3gkdAKHbmqNo5PRez4M+zNI
FYHdPqwy/S7f/HP21KJMI8MNfz5jmm7JkLqXLNLmQQlv/AVy/eVxl2Oa9QUyIp5MgwBHZHobpL7L
8shAV6WTxSSQ7FlKzrYBZPQmpmWExmMZXdqtq5zjPaMMq1qBNija2tjCn1QkCO8kPB78dtZ1eqWV
Mq5V4P9fJpwqA2UNrydgFXQdUYxnPFAztDJj6yH3wiJaFuPFjnkde4QTK1CZw2LGtkbw+NCVdvCf
VHKTXCZsqdfAVPOHtTrK/ya839Gibo0mdDsOUNUWnMfkzOLIYq+HzL0cBRGkTdM57MjGoLwCCTNX
olNCQfAdkI3la4gu8ngA5oUelv04kKFWdOBpjw3T/lHfgyTSrwMkcgkIf0AhyLM9IlC/1IAImI8t
ki4MO/Sj6YzexFPK/5BpjgAlacNeBjD06iQq0oSOYD94bPyCyQnuIj21SbJH4MyBs+shz+DrNR60
TFsgmUH2FSZX3VlwfAJ3Mq5YADwtdFcsiv5sdIq9OoXp8hmUTwoIY0stBiFrWWtYDU4qVEY92hkj
b49MbnYt2IQZw43Ebb07JvcnG0LCMe8d6m5hgqfXmRnIi440f4L2N4q2MEMDhDWRWp8E2L77uBYA
wKaxMK//JxnaxjXqK7PaPxA5mDcyrBs/NXpbvoqcoZ0q5+OfIxD9kAc5fW0rIjywHOTDgwqyRAka
1uzNcYrMXgf06arK1uzvYFHy8FNxxsCLRttbL/XvShIA8zE6JG7ZeuKwJCPKBXltS3FCn6MPYND2
Z6yqUXX5WIR3iKTJbwlmAo2smfzecpuS5R6JpeCTRrO5nyrUU4DeP+LVByqr9JdOkNmCab38Ighy
TDoso/WPLDsWIL3a76/EC0zWk7HJPV++K42fpuFJon2a7jCpuwU5AvcthMwVaYd5T8t7X0RagpoR
/MmnAfMuPlI+ZJ6UiDZ06Hd15VCsNN4p+LzVctlu96HKPAgm4Yp+rDhgSsRo19mV3SiisgokrBS9
SWX4D1fou1hh1GSdApz6lh4TwFJmsW21BQXsMSKapLhCE0yBa4sBRHgWxfrEvpMGzo3Mwh3KXi6x
fmC8b8uarP8NRFDaST9tWIVdvj4vvtmPDnz5vJ8bKhH6kvk5fdIYQZKuhMrnccf4r1EO6gnkE+wj
Fs54n2gM2aNHAvwglGsZah3sSW6uwjWFI/CrLpaFtiK1VHQ4JOHd2YW8jOmiZ1DBGm/GZQPQWoeX
ybHWeqceS8ST/tXoPA9AmtNHZPau2eMGLfwAyE4wvH7jmyH2i0z1rwHIX3JZ8mAfRZLu4nYoTYzt
hserPMOMCP5vId+hx995wyex75jl83puZqh5djJ3kNhOfyQDNgsTpcZCSzRjoIkUmx4zuGHtSRun
T+Owg+L3kPLh+oYMQ4XmSfnEUsY2XOoRs8IKNeifhIGYPskdpbgLi8eJrdek+s/kSXimwbr9VtUl
Wk6A5ybtKlf4T+DgFe12iJAvJaJvp+uZQh7/3eaQianUmmP8W0fgdoihyYYOsG58X7xLPwLjddq6
jJFbmN7Xr7I6ADwj6BmBqwso4F+WV65qeSLA4RdjtV2LneBfFtptGGlpxYtuY3XxH3iPAmwHVATf
ZLGA50rSHWsWguOTv8BOAItLFDXXMdCH2V3QInnlhG7ZieCdhXN3zLz+xpEHkPHVBPy3R5bc+syO
PPzxUHJ94AfhLS1YNrg8VXCHlB3d3G4uB/LTbwD4JEe74gj9xLQkeT/mA0m6tY4kv4TU5B9JIec3
qFSn3xbY7AfiPNPpAp5avG3LXHzpuE6+xdCTAPMHN/dHrRu99029HfpUuCb9C+G4im02LAgBwNso
KLtOGD9+Sby+q7jJJjno3kANgoMMY+d/eB79BvRwA088Ox4w4kF5s51KRiZ12vVMb3ekTYBu8pJ+
DbkAEpCu9dBP+iiPczVHqAlnWyQEG8NK9vF+LBaB3wxmgHQe5zWcV2tz3gncuxuZrgm4ZBgyv5g6
zJOSEUMtGfah6ALg6vxUyMIvnUp4ntzGgeuhRTBR8UEyD0ZIjnVmzgsW2OeKkVR1TUFIuJ71lL1A
DotkgCSdMBtUKzJcVpMCnRm/54B2HAb1wGWuOIr7IX8SDXoMXRpv/GhjqqqnZC/deD6IEb8rhemo
myXA6paTsUA/y7h6MZsv/sFzAXxGMrtWrTYS5ot3iiTD9D4PIYt3TNOZtDkbgDa5sageoNVVrK/R
hyOo9npDUSKFhb3OIR3iPOIFLvwy8K1abjOUDyDP02bSE95VOb8sbAyAe4qDzKcVuiQKOC8DrKxM
GbssWKiHUxbZG3xdpWgF8ixG/LmOfSmzaFq0SHAcFp3ma0eILu3B+KQ35SEGhgzLprwpWU08AP3D
/5xwKd9UjDAZ+6WZ144w1L7OTdmEyGG5buoMSGh83KfvfA5+lOkbSSb7C34PPH7SDhCgBKH83k+0
3mk3EgUpBh3q7Hpf8Px9QieAAkkrCaIry1FsGcYsPJwy06pNZ0AMCDeBOBK5iTuW2LncDN4NJNL8
wg1y39ANquFEPZaIlrLQnKUzZLkrwjGUbe0TP7ejQzJRxyUA1as6lMWXKrbpl0RJmXARKnu9phiJ
+hoaKPocGbd3gSbrfIfprLw7VFLJS+Gkm7uiEBDVYHIAWpOmLtW9cBkBABNHHJ6pKNYPFyx+yJbP
45PA0vXLYyeAxYesCDiItRpeWT2qADdlrKoOwD9oAFC9+lYpjClnAUyddVwFbWGfzfWP1B7rX8JJ
Md/6rCyu4L62f0vHi1OSTXb7AegenJeBKTKgKG3lf40T878AbvWLA319o6qEdGJQSPTpcjZiejMb
RvN+doo+GMg9oBADB4scJRc8KAdHWRcyxJAjdPPQn9WyogjaCWg5OompdLewecetOCocfVMrSVs5
7fStgfToc+Kpf0u2qratyKT/lAiJTvtlcuQJ80SEQmXDl69q8Uqp1W/Mr0nTolanCzxQ0J1AOUY1
hpYwqhmRR6WM2N3ibtoZATCAGpAgD5hLVbpuU+vpZ5Ea+ponlX2iBAtqu9du/5slo8Q8giVI9QNo
zWuBH4iRbrD57YyRtOz47PYVmhXkViPsM0cwrVMQWeDRF+qCXjj9qehRGMRLh5gj52mby56Sopr7
ARcw7SDLrfCsDjgH3ZzlM2TLyAwDf64g2Gq/azJMK7jBtNV4rdSdrAF3gpFj6g0BU/wf806vUOFH
/iA5Js9TcKMCrQV6V/TN4qg/+wW09uZLsXWhYhS/bIBL9BQHNBhw47X/rVjCPrEQwMc9CxJfsjQk
cK2Q7XihY1ies+BSgEbpARYO7WNVHfQaYKZ5bdYHZ4bth6BZ/qolNv0nwE457TYor34HOOs+xjWI
n3vJMGJDAb5AEzYP+dtUhBUO/DDnPwho7ulqleP2Obn1W4GIHYS1B2LczMUmkpHW2Qb9ggS7gE4C
mfhSlhC1LBNiLttjk+bLwXDxu8QKOmLeyPF85hgSME2A42pOa3nMptv2OL6mJoWYSIHR+X6rxgS6
olgPXOdZIH66tTZLn3x++CeBl5MpQJd0+YSiDktIMO6fh7JYtNP+fYr3nc7rVVRMvq8ghHGgG+7n
jgAYSFpwB1PTAnQCFBVLNt1PRsmq0zTT6MMH/ui8TdROeL3HBHCcJyTwKyoGCIf20ZuncR8gsVi+
hfYtpccUoEez5B27OX/IC0DduPILeVDajI+w0yA8d0glvc5SAwxYf0uU8MAVBQIi2WrrvgKo9gZQ
UX0k45EVpyrhwGWdntMf0EzKsoOvBMAV9rUSrPSSVqFDnYV4A6OXfAoWr4jpyZbjhk8GVHL/P+LO
rDduJNvzX6VR7+zLfRnc7geSuUjWblm2/ELItsx93/np50dVz1wlM5EcFVAYdKOBgtsVGcGIEyfO
fzkcAVQePoy9b0KgFIOrBKO47wXgd2K4P7yYheY9amQxrJMutD8kZQLlx8EzpM2MpI081IU+eJK8
UPMusWTtb7MSx5gtR4HABjWPuzLX6IUMAtuVPpm7UlFvSgudq2LMqytBJbbYRuM3sdskajnZgj56
t+gtuodONpsfndqo1V7CM+RTlgDFk7nlHrCkqr1Qx+sJf0bl73MFhT212DDfiX0Js2dQheITU62h
NhhyEDgjkqvXkP3DCHi4b2sx1X8XapDoG6Hqspc5PPBKA/PAy5tM4sLwhhRbQ/DS59LsJfQOgeJn
3FCCSXmGGsVNUiEugB6jezeTkdDRb6IQBxchmPLOtbzcL0iJ1PBy0jIq2IUHT50CBuyPbSmM8U1s
5VyeaZn2MtunUi5jDcwJzxsxT3hD6fGD2AzRzz6fjO8BfHAImYEifq2nkkeRluC6ow4BbBtfFtEY
+q3okZbrnfKVXRhdQcX/OXh1UjpKVpDtGSH5uTGZMo6QWSLuI7mAzzRMgJwE7KgMNpFJym53Ai9R
OwKug2xk9fIFpJzA3OB0R28mPROUlwwyHNFK4RqOsk7cB3XJkaDwb93VcqHcFVSgM9frlf65lLk1
2Xxq/0POaDdkR3Gkf+pquF92ZuXhUz8Cl1GT6rVrNNg9OxxyZbBpIfZVeEMVKq95IwbF0CtJvOTD
VXA14kF4jK3Bh8g2ExBzjY5Du67sQgKulz1XiEi/9Uqd32RiOCj7KCnEbSYMjbojuJaxYzR5E6iw
JigJ0g6IekLSXcYZ+Kc0I4lw6kzbQFHa7QdLS8Eb0lCviUAyxV4apSB0wCsfeLtTYs4TH8Gr4DE1
mg7w0ZnXcR/S0axWKI9fIyqjepANsW7QW6aCn0tZgmoF90bQbLrCSJQtnYIoaUetUn3LI7l/7TPu
IBy5QJzdqBnLz4YlCckVRN/wU0S0SB2jn19VYMz8COgyoW8b5F7f8CEVPqFaBMY2pj56UQO1fwXj
Y9QqrmPLpW6VmLeVmlIQpsPhxHsA/1tQ18zUqq/o4ArtU6Dl4RdIB01DwtUVLZSZUIAzMiBliZ2q
gIG19ymp1VfIaevrDqJ565iUu6Y9HRKLMLgFax3kRxgW0w8Srw4+/GCoXv3U+DFSkE2FBZdxIQDl
v+Dy3X8bfGVod2DyZu5avIrhWLQC7pC8rylu+8YkPFtYomHbZerWTdDGVgAbLDBJrvP8cw2MD7FK
DMUfAvSIzJ3CWPM2kEMsqFE8TVNXreEIgXTPB0BtR8wK5czsSsfkTtHJsA2YZiB91mOTl+b91Cq9
CFg5MU0UyuUOpm1/PXX1RPltIjK4ACPtgw9pugUfkuKSmqYZP4XYIyhum+cVrj+wAEky43SkVlxr
hJxKinn0mxBDJChjTdPASxGCGIhBYNuA32LjGBeT4e1LasshJkUkuE4uykCGQHCZvsV2rMCbCSs1
c0vlPuZuUmSgORUaOZ5x1cRzOas6GdBKEfzPJI99twlwUL3ETEaiwiJmgsDjuGb79oOIq0IZpaNn
xyPhHRyRgs8FruA8piGcGHC7pkh60WI5Rj+cYaOJ22oXD26qdOqvYMqIgUJINxpbUFJqtFYEB9hu
CdYPVVImXyAmKsWGV/3w1PlBGlwIJN5gG2Gh3Bu+jMPWIBXsyEbPGgnUUJKue5KblzLqzM/YBVuQ
j+hW5G0Sa0LSOSlyc1OZofw9yGVDc6NoEC8mzc+L28rKq/t+zDQR7oYJgz2fU/vUU+LKUcUWVhgZ
uYDyOtPrr1mQ8M6NsAUlyEPi9Fwq4+o94QAMCY0ZlFwlSwQB8pvQ3hGmps5RohiOYxHhaNSXb/eA
2lidnYt5c01oBCeGR+R9Q4mR7EecVQcXwgPwIDSf8nlEH1e7JYS38pK+KeJvf8hMZScK1PgcygQS
V4mo00GS4CKYG6lXeH7ift78Sn257kmoY/8Jj93ufgyqjhum0P2XshnH374BzW4bV1b8w+KSrjY6
BwskoozMEguayIAXOpJyOux4wG41EDg3qBhI/Hh6xz+p0WcveWGEvS1hDf8EikuNpq+b8TrPe+sF
7xfYPCDGWgkKMEVQlhXB/JVE6fQj5G3FrKQETlubGp3qRGGkNTOcp3WOGBrJ9xBvVxr3SBNye5VK
HahnOGs66s6CLJrlUwr5RBT5+D6w3WXdj3Jji4bca5wDVQhgGUV+tTELC9o1dwstlUxfnXwHQLa8
ofOYOLqGqItXmp/RbCCU+iTfkT/GX8ucqEwSB/WolQtCP4TH9Cd00+gOXWsDzzCUU2EDI9y7a4hP
gUOaL/FMC/P2swxX/EsBdvOo6eAIKrfjVZonykOUKGp2X0Z9i9WOFXbjXja74XMd1DU2qFOlYANU
JI23G3MlemgLpaby1I+IVkZxotpI7oJp6iSbsbnhlSTom1DNeS4OdalXrtxwajZ+Ew7ER6uvsotM
HeQWOW6vmha1VY34oCkNfxwg5/lZhFMhOHit5TgaRNIY/TBziBM7LDI677rjjQOhi071DwO8uVeV
pwGfWprNXDKfWrunBtDJRhgw0BsaMfnRV4P36JHp/8IUai6zjkOvEgjIATdIcZRn9CAwPVLkQc9l
OHCRV41k7cqkj0FZUQil+wF+5wNvlYLGxpFcQ5/XEAf10lRKTp2gRLRjWU4SGCYUSVzPQyZDHmkY
d9SmyTY1VAGfogr6nRvSYtIEPGi5niDXKE/yWIY/BhNmr5MkBlku6r+qdErR9O6ySIVnROZPkgvs
GsTbXEn1z0IqQ+RpMQ25qwWpmZzS9NreRv4Gm6kwxPwxNsLxu9nq0mcdQEvcSN4kCm5gWYAT9Iby
QyeuUlLTRFCye8lszAe6N+bPolBrEJby3Jcd4iHlQ7rDZVdI0oQMXXOlvOAnD+ETOm56USG86jYS
vu+Nw+8RHz00z5fT1OdwRCig/qrj0H+WqabBqC2HNASJZYvZspIKI0zBbuZdQnCDHAAF/quXjYHq
wkiagOENs9jBsOdvKnDrcu490DeSYyj5dqvgk7bxq8a4aSJNGAjViaRR+4uib1URh4+WF1t3wIZU
XHrPm4S5wDXktqkLSFuGUCXdH4lsLyQNPDVkWJZ2kyN2sBFWeT/0gFLFtrbKSHVHuBAWPK9mvFQn
PcXrQpxvmEgsk3CjdgFl2QRGh7KRUtO4nd+dGkGlnS7qvPYrx2s7anv4N8lXdTepX/yYKGZjcBnS
gYhnydasCtIZzJur3z2Cv6uwTBvZ7SoRvDw0URWw0mxIR2tKP7G7aRS+IUDkGw8jluhmOEmPymBg
1VLCu5QpjZGi2X2cywhv4sy6b2Jv0mwe6wFJgydJHAhRFr70oTJ98cKulSCEz3VmzODaFzWqldKZ
euowzkQHCm/2FRwB3KgZ3aVj4QvQZ3lW26NiSNfIxaob0/IhHBtSSmbvq0ZDsyir6AciPfC8XI9A
vdMQ994Woqjq7xOptu6FLMBFw7JA7D8pXQ+aARxeux5hv0ZiwV1/IUeqJdh1Qy/lJqsE3qINsPuG
x2oWIUOM8vxeHiVoAXDGakQ0ngjehUau3ZRDMBZuJQ6S6pgTEmhnENv2pVN6od/0bSVFWyuwYs5U
YOlkWhBQJ+hzvh+5EiXB8NfgU5jZtJMgdU6aI4AnMRtjKBdWKYeX+I9Z6XXfheadFsZJ6SrdlCDT
yuHY3SL5AdRu0SmwGKWS/pLiTKq3YzB5gzsOlKy2fkBi7EqsYuVOBHFyiwiUioVNCkGiKiR7D2Fp
kEuUtL4QIHp2JCEjZ/U1yQYaqofoPh7yZsThZW4DcE1DhOYbnFkVEDKv9etSA3d2lGksoBabRYQX
o+pJMG+JXLYAkHIjeRKUl4FKKky8Hlq2m6Af+pV7xfglT6ToVoWVLs6EQWrHVGMNHqJ58dv0Oh5/
1HWpFVI9JOOKNACbxkjE72R8fePwRMlIQbvKvJUKpZR2nmpO332hF6+RmHbiJ8Rkyq9ek5S5OJNA
z6SXkH9BYTiYwEfF7BZxgSLB4VfaAJidBgcOJCBOlDFE4n1A04PYyVWRD9aJovbY1hWwctnqwLux
WFsXo+A3/a7ne3+euMGHvUo14yKienLfKB01JDzO2isIEdySOeyTG7IDrotErPPOnmqKGDszLCsK
WDJqgs/UJBNSkLyT4UtlsXmvpzlkWK4b/7ZMYBLbHav8FYZ6dzs/9KDiiAl6MEHI6zt0kt7PuKCC
7HTKwAtDHcwEmggtVZ6tYOQw+0UwGvCzEsoVaYSx7gY3PPVnQrENZ1i5CB4DNWt4+YpW+YzPkJ5Q
ZMuSn75UVrAgvJiSEmrupICTnhWPUg4DgCAL/0LV8Dy2w5qm5C6nePxujfrUkccrcEF6SrUaLBzS
RnjSavKghmgZHFAo/YdmVsY9d1CtbHPPB+dm61YbsfErUvyqUApnjs7jVo4o7myioaGMrZkTxMjA
TG9nDuroBkM5XJO5ZLW+90G0x02gSmaJtVwpXNcdt+Y+znPlwqQmItsmBvM84fOhkG5rxIC/Kk+c
bnXUoo3dQ6xo981E/e0O7ZmHt6lg5KxNoGr5hi5ejXE1NXpSPPEuEJ4Ei8IoMFAhws/XI7Lcpi+k
5ySbVJEckOfRT8uPOsHm+QVH0ZMQTe2KEtb4V4OuoRaQi5VpBAmF0hg8W58iPASgcPwCu7Sj34aF
dGmrFGh57Lwd6UV7XnE9ewm8NzegeQDWn9g1iJicUYVciLsTadSsEuIPgLAqfxfa3LPbuGx3RtwP
d4KQYPYqeD6frmndJG6l3fnhl4LveXh6tSLHN7GxBQU71FqjYa0aaCupjfSK51AClbndi7AEFdSd
xS0YhWVPmup/qoYEWvD5wZddxWgwx+iyKII6Kvrsn3I4On3CdA3oLrNjjyt3U0keBymlLeAm5lUR
QmuiiuajzAY/D3lRoRHdxBlsE5IYCt6l3nxb+UVL7fnyFy0sViA8e2WV8jn8XCUOA2G6kW/JDqnS
U0kqTOABC69Qo22Sptfw9zLHXZZRAZB7H2r4SMkBPom1slJLC4C3n0UTw9n1VlKOnMXKgQjdqjyJ
s9Sn3Ip2zofYkVCNjOtcz93zq7D0hphHmx0+jNndFE7Mwial6NWMNu8wQaADmz/U0FCgxyGXIi0c
tOEHjX7lFROdU9sQyz1J1+Y9KGkL6wsIknUe1+DwyAHlOx2aCWmuBBe3EYcL2HPWrsjQbueK/rH2
D3OLQx2msT7vQMaXFjvQzFEgwn8B7sMID8kV5d+w+JKq3AUXVIKAts8v7fFED8db7K9RFxCmFAXC
w0zsedH24/XIuJ/gYyhwxcvGLc2yfLC0xN+eH/l4ZzMy5jMapsYG/ajmX/bO2qEetVwKVXY2HZLE
Sx9uKxdvkX/Qq+VtPWkSyLZBkUER53AUhg4Vq+REK73UXGoz9c1MpUtA+f6zAd96Zd8cnwvctwkf
oMcAgnzNw+FM1fKsVGCnVg23WUNp2KHi+BVxjbQ/v3zHZ0LFZ8OgGzlwD/6+8/K+Wz6kXFU1hNwN
XimXF2QwaLGQD4cOBE9UyRXl3JW26ydHVDBiQgGPNGHpXijxwi7TljNfBEL/0xspdFlNNFcSqyC+
w63RXPEZObVDaJ1gIoQwsX9auov3dIRQQW6JxlXLe8WairpwC6Pusr+wFWlBhCe8pKp8tcVahpDJ
yShYy6k0SrjOjQXnaChXRjm1ftiVS5Cn6IICJ/7wi/UGPN04YJQGhoCOtNCa9lEgV5uBGisIPrWw
81vk1Ga0RAv2AGkZ0WxxwvS80vzRnLeI1Fn3fYYxiDP4viFs2oSkZiWSLE2K5pNmKYbIKqq4Rizb
lORWm5ADozyuJD99CQH04IfGUFem4sqss7klsdB0T+eneCJ8cTFgQiYRK+n0LB+u6eSZk6JBErXx
FEDRKRnerh6ptypptC0Tz6QKoag7VYHwuDLdE18TE1jQZjyZCC7qIlHp5DAPzJKTXnut+SwjvI64
i6VuT7Oyduujj96cn+qJ0zAnZLRmUSSupGVoqXurgWOXgGVBD3U1nC23raCsdSU/8RUNGUc3XcKl
COvnxbSwq/GjbD5znhxLA6z3uI52Sl1L4lbKRNjIYSSOtxL832AloJ0cmYsACRvNAvFLP/yUHrz/
oUnpkRCZLe9oxDCe69WcDYoktfSD2A7ZtUfK6a0MfOKYMJ5IdoHZNfy2+Ye9i6QVkncDhSkLGxfD
ZZ2J3QYnWOHeooKyEtFOzBH7P4UGJhyVuV344VBlIspTr6Wo89H+uUIFtWzQKoS3IQDSfQFN+Vss
WWt+xScmaM3e8PQP0qigiItvimAaD+aOQxJKGOiIFXQkpC3ezhdRKXx4k1pwPiy6bND2BhPMwwlG
iM6pJzFBD0Mg12rgMfWltub3dnwU5o4LIk1WNRzf9KUloNiZdPEo6QMjYCBwG/cxfL4g6lZSsROj
zN54/IfoiYX+Iny26FXSTLMAow04ooWUabB1Av3Dx5osmiMn46Eoi7ifHa7YIAbdQPoOyQLSSHpb
Ya6Tu3klNGvn68R0CMwSbvYilxw74XAgECXVz6if2lOPM2mYypUDYXHFcfg4Kr61FMUvixbxpD+L
2cgkLP2QUeRkuvElwTMcN2EN/6MYUP1vUFgX4/NHtxxmvDRrhKKuza1VFnEjhNZN/YCMWVEKnmyB
WWyLcRjc86OcmJhhEhdVkctN5513uHo9/q1+FZc8xa0SyDAJjCuaydRb02gDpxj8teY8p8fjCUAj
U/K7pSt+J4utYVDXgYIg1OB/tBMFXfV8lDaRGOX37VApP89P8cQGYYq0MeOWwfP/6OmNPz6qFRZy
DLIQ5W4OupA308f3O548FMY0ZY661sJo2Kp1NO6IDuw2Eb07c0DwVEfxuNK98jgvoBSlcZUY3JVI
4hdn19MD7KZm+0yF1nYwtXFlQTXTf4ayb+2s3kSDG/sDEF7dpLvzy3jiy5Fu4Reo0atQopZyuFO6
UAzLkoYldq6r/jckQNo3pHlqvU1ybDtsPYZStD0/5PG1QmMKlnJGcrg9l5d20MuZ1dNF2/aUbNpp
sLK+JwKI5JUg8zy/81DwSnZeBtRzzw98YsuY2HqaHECT87f0mqXvJQksfoN2h1vVTaSpqV0XRf/h
PJbpWfheygiusPxe3F95MaDlNyF+WYmZ7dA1epi8CZnBUUiSVFvZoKe2Dlcz1cB5RSHNHX6/VqEl
FjxV3qXmEO7w9oJbl4QCrvSeEV3jRzheaxTtdgrJ9ePHl9NgGek2YrJ9tHlrvctEjJData9rsP8h
M91JeD5tcjwVV96opzaoIfMmJofUeKoucmY8nwoFx3mYyXps2DWEhe/KgKsn/Ntyj06k3v+FWfGU
xuiWZw+h+nBWE3YqORJBdqeaF6GLyr3QoXlhkrWyG09OjFf+nHzwv+birY8zFbRQHBpwcPHQENAZ
GMCkzq0h2cepJtYPE8qftUrYiUHnJim8e1hMrvDFxTDJ0JSLCZ3NSMc2MCokXCM8+BxfGz9N3fNL
eZzJsTl4oWq8U7kVlEVsSfsYlS22OkiiGsRFTjgNZfIN7ZdRDijEx15ee9W99UU5rAfPLVN4WZms
K9nD4usNqRX4OtCEbXHs0k3YNeJ1P+AgZoVNtvdMoCMpLOtdADOSHoAC8JTtjwaAYIpH3srWPRFv
LIxPCOmKTmxfppdBDzOT7lA53JrK39BIFwqfj1P8+VU+Ped3w8yf4d05jPQm6USP7jfeNA26XbWz
uRatIlXNSRWrudXSQLgQe/A1M8GxtkiAojEuN+nKE4krfapO7S+++J+NFYgMi9OaYybnGSpT9uGO
Oyps1VelKmMoYaJ/2dW80c5P/tQSU/zmLuHmnJu6Hc5d1Sd6U2DLaBuaUuK7hoLIGNN+ZVanNrJB
I3EJc3yFbznP+t0KwwxWk6HlnYCFXvnsRT44Yin7LzTeXksFTk6IN9fsUA63V1wsIO7IEAQkEo6K
JuKuV8EIBKgJVhKOk6MgKiHwUPsgfh9OCF2TV8i0TaVNsB+aW2yK1NblpYUC+vz3ObVytO/haqXw
TvFhkcZXJPcmolYGEhpxK8BMd428M+4LFMOf/8pQGD9bc2JND/DDOaX1UDeWwEcqhqa4Nb0mAOE0
ofHCJuqjL39hMLpdUYIjxZaWr3DsbALcoUl4OwCYbds2NL6EIe52TZJuzw916luRonEBYsfMDb+Y
FxwmVa9TSjeKoqX3WFmYN7rZmSuxav63LAMnJsnGXB7ihlh6MWdJp4/hxL7LaniTdgtX9ILg2D8F
VKi2RYva5/y0Tu0Min1QFGErgWEtrj+lQTSe6kBn+GllTjQhj6simoSR1wcrH+t4blRLVDYFFx+V
jOXcelWykhpO9aymrnaBV97nZnUJVU7fi1XYrUzsxGgmvsu0T6Dny0w3O9yHfasIdBsHXtd6Qb/0
U0t4pLUT0h2pne6w6PNW8s3j/UFlXaJxDnmEjNJ1cZZDUYewL+SI2sHYnwtpGqm5yf3D+c91chS6
HHKMKWWAeR7OShA6fZhwZ4LRhgOr2vnVDRTOtZ5KJ9ZuzoUAWngcUHSe//xdoKVcjzrKhFefdWN3
J0neTJlA9Xuppr3+VS695PeHp8UWpMgk41YPwrOYlqInVegHPAlwGCNZT+VfYWZ8sEc1hQXeAyph
iYDO5bFMKWUBs4ls6nje5QouujXeMVSX1cyBioFATeSbrZzm469FXNdov8mbkhRzCQiWXYECp7Pg
8yVle2VMkXcttr3Sfzi6I6kQDTqXG0R32VxEdzOF7wMBJMYZo8k3aZy+TjPVrNKjtTZYRxPSFYkX
uCHyRJbpXr44VDj9VkIrIkSUyjF8TnOh2MRN8OH6PKPwNCWdmJslMKHD7QcRFLa3gd1whQy3tOPM
xAqnH/tYue7aAtpeVFuQ6NDJc/hxuixXcbJT85zDBi9yIgiI4+EvSHjpzIJf2EtVAlcmrJTgSg21
9KP3P9fJ3GOLi5mbmdB4OIyIPXyrzmU8ZGGmayn9awbJeH/+bM259sGVQsVzbhcyY+HW/N/DQaow
q6um1r+3aISLXLjXw30qGttckm063pDgIPqiX8PKnjyqLsyjIjairKvOhkGLbwiXELfeQf8+tJdW
YF6l3UbOPSfRI3eavp2f4HIoasci6ANNcqi4ooBeBI8QX4kJaiiqYH3wb3A78Zy2T7tPAn7rG1FH
p0ZlL9icH3S5Q94GBeMH05RJMZalvQjXIa3Ph8DGvyO+Rx+QbCZzNN3zoyxv5z9HMcl5FWVurLc4
b4DQPnbATC1A5tRDKhHmUiwuSg668jXCxInB5mYh6NBAvGmRsYj6VZ7Tpkyb2YiBx1h9YT5woXFj
Do33wY3PvA6GWmx8Tfc8YyoZCm1ij4gh9XaYq3w0ZZtHofJDbwzqakSSRVxsWymAeY87I0FG2/Wg
xoBtk7E9/42OdwLoLCoI4hTVJuojh+cLxcEUaTriRC8sCl6xdYDDYvLRyAvyczDK4hTzIMETYODx
iCGoZ+Ob9SzG0vP5mRxvAMoRWLPSnGNGm4zFVxkSoZH9CSs1mhbpv6QBP4cEge7sK2GstUp627rv
wxIJBoNRIgAtAV9adqjr8UhQxw4UCxQdFxlyRgGxtlFfVUJa3kC+zbeN3rZ7zF9lZwgj+QKX3GQl
Nh59O97I9DyRYG+Zs4ZzMeO0xGE9DYxvVogCoMRm0Rn0eC2bOjkIDA/WFMRGF5eDYPuCjbD/HI9l
am2UUtEuM3rVWbsPfb2ZEaPyEAJCYSD6nyxiRZskgxXoQ2/TDC+AuVyYX/BNQUKqRsHKG28xoz+H
IsulVSsYNu0MD7e84hlhnJHc2nqK+Ltmgm6bCNLHgsTbKEA/b5OhBeaSiTDlOTZSWYDSJpBxYEMR
faWI0xpgt6Tv/TkM6MLcfI/nqrZYN3xzOvAzARp9p1X7aCjHK1zk2hut9bVdwIMZZdegIcREv9XH
NFFBKN36Fxq+LQ6fdO2gLw7h28/RgQLmI0hCfFSPNDMZCz2sIvJxSOxajZNPA3YG2xBt20pD7jde
2Lsz+DYWNDmZjQN4T258+B1VNcX6eeQ7BlH12CLuwTpL2U1evMeyeK/l1fc27L+3Eu1zVO9zprXf
BhDokayvbOILfOnX6hRzrFz8IC5ykwvdmnvlLtlCSCxQ5ZpY5ItSZSmvKf6v8WVWg3Le4Z2Zxds4
nFL5AU+48OcU4ka9wlY6sfhzG1sRqhKECcz3DhfEqya5xf6zs6GG4eGr57kLf7hwyyBK3PPH9cQZ
Ohhq/inv3lilNMrBOG+7oNGFi5gNcUUy2n78pDKKxRmFyTbfhYejVMhavSzhDLWTH2xlaxC2hYzX
1F+YC88qCQgQEEJf7COLLgsJ1mvsozyKvqOKrm+ETtAfzo9yanNA9eBIUB8Bu11EHQgXftGlqKrj
UIp2tGwNDBQhkr/xVb+5EgtcHeS2KC6VLuq+fHxo7ihYZXA9jg8K0upM6lOkhQrFuetB0voX+iII
F0i9tbsUVzms03T9jti/xg083iYQ53lvQVcimSYkHH5AoQfaEaoI/w5TLa+jOMv3gVWvoS3HS2uC
APLpRFPkgbes1wdi2elikY42srwHUddeOtV89Cb9ssPBBc/WZm+o1cdoLQQfKpIybgGUWWUouotr
Ef1Rz7M7G1GeYlbwzSowBt8XkhLqDhazRYBnY+0DwmDRGT2d/5zzTjkMM6bEvQWfAfgFSs1iaMgz
iMlihjZ1CNnK4EWbvAjKDb2OEDs01VrlYf73HY+nAoXASYa8uti5ozR5qi/jh1P32B3IQxp9TXzf
28KzjhA3GsUeL+K1/n/HsWyGA6EoQStl5yyr5QG9BhFG46+IoZHgxGIuuLFaW9sCf62VWHZyKN7s
iEDxMuTGPtykGLVN9GvEZAbnwF7mAhFjceNZYZZupWiS9I9lbXSZMbmrIVSwZWesfnFjCwPaaVND
gaENeHcIFf5WRUzjtA9ukpmpzhBET1iKvCwPJ2V5EM4mPKgwykvNejP2QZS5iR5ov9CGmXihFdFa
n+GjdVwMuVzHBAGgSUcDB6ln4Upq/BoZUuOmZdKtTO4orLzR8KE4kF2BW+uLeyGYxkDEEgkv0bFs
L/AqSR20QdnKvjgehboGKDxAJ1cq3u2HS4iraBcZJSplK661TRl0E45N+rQ7/6GWp4vchVPFuWKX
yyZOpIejoMyS6PkE06X1PPFhsDqaJvntxagYnU0DouGhy9fgoaMhWTEeLjNte2ZtL998iWQog1Ij
pAjrSnIH/Ms1x8ob4U7CWenWMpvZr25sNucnOn/+92GEophMmjbTDhkUsuXhRJOhbzsxphFUsw3t
1uk3+U65lt210sYSySRoHI6zuHPIFlu9TBincL8/ZS69N+xfl3cv5yfz9h45NxvlcDaDXgco/xhF
3kEosOnlsZFusHlx6X/iaBugN/tTZV9in2+PX8+PvXx8Hs1w3rjvki+ez4lazS21hL3q9A4kePun
cW1cfvReXa7kfODfjTMkGX4QGeOo996uRFb/BKH50lvZF8vbeznK4npBjh8lwjybaUtvEAfjQCdz
ipWzfPROWo4yn4l3c1HCSlKj+Xtdl5sfsfP4qu1enj6vdc58a+57blsswi5E5mSUQoYpN9BOHfwH
7CfMNm8nx/iCf+fFyk6Y9/K54RYh16JjJeGD4XrnB6av9s/MvvztfF5JOKQTAeP90V0+ztM6qw2s
QOdZ4YDlUCxy6BnkmK7uvuyea/cLXkFrH2wlXCwFUI2pFFYwj9m5POw4YOHm62T//HIT2He1+8Kb
wMZsc+ViWft+S3K9gkmHnMzfb3R+TFtxR0esTb0NbsILz052rb3y/ea7/sz3kxdRJFbRUCIvnCcZ
OCn/UW0cPx3M2VaWc3k3L7b/krKjCrQiCkAu7ZnRbnceUoi8ai+72Fib09peWQQN04hqM5sPmql9
a719iFdyIdPsLIuxIlkDnN/qbOcWcBE8IlOQNQzH/lzA5JY+Da6xpQec8yV0Q/c3onsCsWj/Xpvl
W/55buBFPOn9lF4CJQMrn+XL+im/KS+VH94d5UZst4uX8TG7DG+VO+1xZcesLe8iwPjNEOr5vGMU
9gzOC+zPbk+W53i24RSbbOO7pmM6a5Tto2LLcgMtIs0oZ3FSzwcDAHIb7iX3MXUm+9WzC5Y338r2
6j1+KgAACELin9Vy8LgPI3Ydm2kmzluWJsQbifOhuBaZg+pYn1KHFn739R2O1rtqp15ZFyurfCqu
vh97scr4yYwJAAm5ittv9KdkG2z77ejG2/pC3q/VzE59UvAEQAtIdYDiiwdBhFF1NFZFbVe4v4sS
6lvsqdTxtc0qN5ruz09tGQhI+6l7UuxQFEj+kBYOV1VvQtkLEnVyBKVRtvgj4aosVSE91sZpJeao
i+DGUDA7AfrRIJkGvliHQyWmrA9yR+csD5X6p9zKMvjASrISQ5erN4+igmDxGpjVssu6ikqXavpB
YnfUoMq9xXTSuKy6pHbEUU5voyJNvyBlku4+vIpUcHhWkbQDgurz/nmXTeQYJVR1Qa9GGk4WG3xZ
ialqk95jV5+s7cU5hL2PNEyQNxyFG4j4GvKrxTmgG081WYYwOkbWZZaD90X9BfM3PJQqLVfix0Tq
GgxfU6PobSrbtWDjjZjeJdHoPWlN1uQYCHRdd1GmunwPm6Skx1AVFqZdiPRNOr8uR8k3mCvYmC5R
aoIXBnZ1uDAqTTSyxjBoYil1HT1HhMQfiYZ41gbuUNPnFRtorRuiLR1Ou5cK5PGnX1u+6Uqgg9M2
KhR9TeG+zC/nn6SwP4C3sHqlj9HhTxIwaQrpEj84tFiIMRpWZJtmFOkzhX/MCPqiMy/HQubaDbth
JbU9PmwKHw16GvVgKvTK4nbCyVXoR9QhTtWY30vIG18azIducdxcY4meGGlW0ujA8FQV4PIcTtKv
55Z3ljxhpxfpUCnQOrn5GOEWCk71ev4jH59rSpjUvLANQKshLiF53xCHNMfKyjGwwtk01UCDp9Jf
gU+OHjl8NlSVCpRMAGSugHnG746YDzihRFPbOZ4QePZAR1E7Sn3FZkOll2E75Rsj8ZKNLEbqNWh+
8qqlo7QSwY6PHr8B3s2sVoJmtqy0jVPX+3nJ6TLxctY3fu4Jn9VYhBNoNXjhXGBfjJXLh1d3jmMI
fKD6SFTqD+edakGq5ImH0L7OccAZ1Xibpoay//gokJtnsADOAUrZw1H8vgObGqMOmxf6eeKEhMsw
zbQ/vH6qqDARicoaWOXbN373DeNRiY0GYogT9kV2nai15IYC7jM97qFu2g7e9qOzmjkbMCpBQNg5
6mLPyKNYJ/SixR9+Cv3LKBemC4+eLCuPhOOAYsoamk0mBeR2RDpE9QukN5q1Q3/YzBVF/G8STNr3
oqkJGzPVepxhh7q78IT6P5Ss//o5/C//Nb/7M+zX//5v/vlnjtnTTBtb/OO/r8OfFd/+d/Pf81/7
v/+3w7/079vutWra6vUf1y9F/Y9tm/16acI8W/6dg38FI/3nl7gvzcvBP2yyJmzG+/a1Gh9e6zZp
3objN8//z//XP/zH69u/5XEsXv/1x8uvlNUJ66YKfzZ//OePLn796w/EIDyD/uv9AP/505uXlL9o
vwQh1Zo//13/8xdeX+rmX38Ao/wTgjCIg0KZlQAyg2D969sfqfo/sbZAB0joktHWzI+7LK+agL9m
/hNtFugpEAI8NFWcX2Kcr7c/k8x/kpxRt+Kw4NsPB/+P//PjDr7Y/3zBf2RtepeHdC371x/LSL0E
uhdlsL8T6F4ch78J6F6keX8X0L1Yt//fQPciTId/I9C9zGD+fqD76HJmEx8g3Yu6xWmkG5vVtt6Y
Ec6VKKAXeHflt/+bujPbjRzJtuwXWYHz8OqkT3KXa5ZC8UIoQgrOo5E0Gr/+Lk8kujKjux/u7aoC
+iWRQGhwuZO0c/bZZy/RbpsZg/r2L3f/nzfYX2+o61H11/r4+lr+OvX+7ZP4H46i/w+37d9+y29/
8b9+tv7PqfdvBeu/aer9W4v7b5p6/9a8/Cen3r/9gc1/bur926Pq3zT1/u2t/ZdMva/P8r/fa3+f
ev/2nv5z6h2CEieu35xGefu/z77NIJ/8zSxLoF7/ign4by/j3z4B/+0g/c9MwH/7pf8vE/Df+5yr
mcH95wT8d2P8Pyfgy2qXUxwQf/j4rx6D/36T/M/G4L+rQ79PV397bP8rpqsspP12l1x/KcoQ8tp1
rwH/y9+bK3PWtXbsikQlZRbVDUPxgaSqgQg186uerFZdRqptaLtW0LHBDgi7T44s71fhc5Hour6V
hSzMR7ZJSiNOgzlsD0WgsvEJ+Deh/4sGbxLrlI3F98AtDcDnocc6CEnJfq9OrbUk5FxUk6++N7C6
LIP0Jadc77VPavQYtUO+9l9ChlpCIbdkF94y/C3Z+WRPwLwp09EGkeDNND53TmrIZieHxnKLTbIU
vXWanbDpby1/Ut5t1rZ1t51qp0CPJSdYRqTblt2hnWzvF3QxAPOjObrhthgtYUVe2vOmNIQSYFcc
LDXep4Xo9XuXhSu/OMydcUvqWqLPTjNM6ZONhSZnA14TSGJNvSB4PMhI13BTcGARjCn14YaJUBFj
7hUMAtDx9zpfwH42KnP0NvDhhm/7al2MLXkVvhfXQZo0A7vmHdGZFhaejT/NGe9f7osr6JlE6sNa
Qut2B8ADe0tJoDqTE+Y/QmCCKZnWur9rWfIlf1D1/hkKLRG+AxsdabQKMQWncF2z79BVfWMb5AFZ
10QpuuUjyYTl+IMiSGZGXExLph7NtizDftvragKV1/SO1u+NU3uEOmHoTbpfvTFlRyb1y3RRanbJ
SAYI/z4PnWFu2jaovyuYvJ9lFrbwEokfhXzEVQLIaFDTT7XC3iBoe23KTUqOs3MCvp6Bfa8c97K4
gYRtYGfBg2D1FQB32jndbZYkNe93qMWuKew0wEeogNJ2rBZVZPGyaBTVjQBuIhuCaLLJJDlsrMX0
ASYyfEKJNSuwpk6CmuyiY0RSgeQjsbMC99Sqan0gqKcu9oC32AMIkyL5SSy5Q3BKn/hTDCw0+V70
o73eVDIZX3gjbRVPQ16acQLc+1Whbj5Vo5PzedWO/dZxEV5h6LmZQg30ibNPkrGNSB0uX0kPnbLd
CiTKjbCF5+pcaq0uRo1pCVrC7O9dPYJjIHK4esEVM1fR6IvskrhDSN4l/T8RbAXxSVvZeAOmPQh0
7RZW01rtbZXqJ0JhzTSyunR8Jn2uA7UatEsCJGhY38DEtF/4v0BE8OT12u3isELK/oNrv0L2GQ3S
x436SCyxS9w/mQd9VIRreNv1g11HXsdFTUr50uAJIfL+Zp07Tbi8QZLwBmWbBzTyawjryDXSAWrX
wtW4LmTyHlqYt0Trd63bRLaTm3rjVGX4GcDuzOIps00GRA6bYhvzGskBUUo7gJnLLtyK3C4JJl/6
loTx2p3mGMW5f7dFH0IfH6phK+qBRH8lbXMAgtEBpCI+0Us2GInrF5mvxCCjQhrM3ng+DDHNts7i
0EtTyQ1E+j0W5Fw5gF0CpaCNK5ZPjEy5zHUFvGQ453bd3ppiWl4h/DV3NWxGfV34HUwiyf9gDa/1
aJNYnxC+2QVNOESaBdPPFCZrNLkJGeWKl5XddEUnX2suHnMvpOY6z815VdvJKuqDbtVEcFJVgl4E
IEPkahAATcGciEpUQ0O5RpXbTR+neccl7jU6MSNTs28f8YzK6gfd5oC6TGnORawgvC/73s+8dJM1
3gxsWU2EaGQ+mLiNZw/K3C725H607pJnR4NFMCCRTA1e+xk0JW7F2RrjDKH8tgqVSHZp0eI26vy1
fh3LWrxZYwPRPtFJlcYL0c+odUYIThomMKhmOWertyGtvbu3ktlJY3cyyk+wyNV3QajYWSeQDKMe
IISx4aHSBlHrtsuzkhoSzCyDWyVhYMea9ySuUa3I1iXY4d2QOWzjGW/osm3qxrsEE2neETx3aC/Y
AKDEyHkcvvFupORD5yA9okoZQRe3RQdr6Rqz1V+ZfZPLFZ8YYdQ4nBWbbK0JWg60nseosXCWgCAt
wAIJkbjpIUyCiZ8O23HfuDJNL2Ex1hen94opYm+qtQFyDe5j5kFlJWW5YSsRhG037CED6+xgJMbY
nXtrHb55bm9Xu6nONQp4VRMcIZc+/ZzCxWKUmDbQFANZwLeR0OHzvekPpgnDZeGAI/EtmWP4hOqZ
UPlc7Vz2srJNXs3jZ0HuMtnVy+zewXrMgI7ykKjiyahEHmOu5y2SaubHtsaYvSmzncLISidWkwPb
7aaNp5jwROVoF0+mVZRf5lIEVtROfNibaVT4sNgihlSadzWeHtvXTuxoHp0HiKzNfc6+1guXfOtE
DgJquem7eky23HbDm8V8Y4zZwQeLps2gY6bhBfxjaqjse1Zo92vxTdGxVQ7QnntxyMy4huSuTzNc
aHc7doOVbsbEcqobGGrkzHJKNt+swSPioahSKzisIZSkqG3kuD5rCdCGZ1FNsKKXg/FJxBp+EhJr
/0QyEMz9caSWG5aMjesSZ2hfqB1ymGOWNH4sYCoeuOx9d5u4SvYHNj54CoMF0+1hAIEAKXsGMbCx
6il7HNZak67j9mSRWXjnnwfWfr7Yd1h/wbjgDlpTmZn7wdLs3mZkbqcw1if54HD0iYicW0tHaet5
1gHaqfXVJTp0dhYsATNKAMdWG5iv6WfAAiWApWoCDjbVSbWb7cYvIkkYNbHw5uK9jIBZgRKyYcNs
lldckpkuQQqQmE0sujUah3npICVw9AUXBZnYPKZ8JsXOlZax96BT750MSOQOc+3y0857z4YPHJD4
37WBI2K8GWwosUDF4xxCyQAf0LI9uJSOv3AeJNnCYVSJ4CIdPyEfx9WYCxpGa5ycSg1RMDlpf5M7
Nfz1yaBY22hf+c6maxh5baShrBdvICps07lm/cPqgkJGTZ/ydsEDrV9XLF4EHsxNnm57wxAJj4Me
PkdWghW+q9nfID2fKHIV24Ys+w9+Vr1AoHa8PHaNZWYmb6RmvRsGM+RHNlXzYxFWiT4ubVfcGO2k
TG4UYlKCTU18x/i2Ahc+Uok1cq+8bProla+f8VuC+B0UwWbwhqYwve3XrFHw2YHenHp3SZytdpvU
uzFYoPgcO8vJ4OWtBqnuvoLkA0UwmkXiGFHhmtIizdur3Q2rU2orIa4FsKr87jRBs/sVttiKD6ZU
pH55dVE3VJMSS3Ptluu3trPtMzS17h6KTY+Y3y1DeTAKt3Jj0JJhGytVdltY5YmOG7v+A02rHAhC
MrROYzbmJ2CJwylfah7ffhX43Z4z2aRmTMbgDqu6iqxQWgfVwEOIF7uxXvIBXOOmIGL7W+F06qH1
eICxHzAbP1eSKMnCFnPwsZo6o6aQpf0aaKTtWI7LrGI8BR2HEkTWB3uCobqRfPwnELLZs2yomEGw
r8OJhcWs2AiCe7bMtUqw6qwELxunEYMVJZxixxnK61M+e/5XMorxMZsr/2FdE/NpYI0uYhsLCoAH
E4PPhyHvN7A+9k0zm+MXxjpoZqAVoapVzHEvgkVnZ2MNLinErdNkz30Wzq9ZUjTwe1Zz3F3TyjSR
PnPi8RhJvVv+hvz7pBfnzV8E+JreUKu19ywp9F6HQfuke5UHcdF1PeFeYFk2Hlck134JEk6uXSC2
nNnTiQR59zvwmPCLXYv2w/L6wL0zef08LcGsVPGQefKY912pbpZ6GR9mHnRNlGRd9t1NFnLnytrK
H6HPQqsx6pwj3xX62QmMlH8qNDChvGvB28BdYLqaU3KkF2UZYCKZcYMtzHrDXaMRMi7OGNMsq42h
aEpiUQv1HDrDcmEkTLADOExaGacJ6UeoxvwHmWuWPVlRMjoIItMMLzcx7WBTeP6ot2B8Ib0lyZXc
0gKl4IEX9onF14v+R14pxv4jX/lxRYieJMjer2KeNdH6DPiu6L81NGK3yUiBI+WuLDYw2YanliOw
4sFjy8+61dXbJCS9hUc0Cj9i7J097Y+YIrAI1uPoEkcW1ZOC4NqUjfIjUYQkXE3s+D7m+YylxPaL
7i6Vs+HEQdpmFdv1c9FuU6wJXRQkLZVTDhRTHmAbLE+kyZePECiWr15awa1dg2LY+jDjX+sun5LI
yJr6cSLymd8BoZ3GtbR86KMiCG78IuTKMgRrD8C5uuuKccNTVkyOrqNpzil2TCrNn0IADT6zMF69
jX3tW5yssv5hVitRvfUw+B82TnKQUHbKJwpgzX5fDZP014wyx49VWZkUh5Nb+1thuD2Apm5xZTx2
vc0yi1u8ytTmIZgnuvMPIsvVuOPqbi6zq6b+yNae78R1Hur9EsAl2oD6Gp4q7uYbKrXQ3grL4+UO
1ABprFxdEdVX8b52cpof0yAY890CEd2Nujz3bulbs5+DN8i3WV4zY65EQiOunb6De5FYM8esqLjI
zXwe4jAV1XcdlivVS+4XAQTwuvis5sYzI0jQVUGtPvgF3OwqzLe1U6XLzVAQHrbN07b92Q+uAwYQ
o3h6qD2bP79Pk/mh7DX04NK8VqIGW4ffS27HfEscpf7BT14/7KIaAOxmKzYPBWZHRUUnZLX326Js
Sc4G23mXC5OWlFOT0Iq5nsAuZrWXP3cBPWgMAmb4CUMcCKgYNbVb4dIAUyvUub1z8QDgwyrT2Y9W
Y/Rv8Pyr+ewtfUI3Wg8NlSmOSvNQCP9K+XDC4kOMi/8pypr0gLkyygevJ7hhAyvNfg+kJYJDD8Jv
juSazSVZK15yw5qrF0LNroHLNEHLf0Wl6vImzSDyxl03Bd52EUv6kspuOWk1k40ZZFAhht3YT1DR
iWLTdsX+Xa657cdCzguCQ9Glh0UWwbufJ8FbGQbDN3toq0dz6tcyYh2MPqmc8hFsdF1nKsrysP9U
lqIazIdqrCLQeF4QNZrSf2MbUOggAzQ2XqdgQXxZBpq9lgxeyvBl0CeUCyW35RrOj0CzxCN+BWfZ
DFLSdmUy7L55Gl+IKyhCabKU9WZnmEqiBTT9PfBYd9imjZZpBK9qdreVY7ZfzZo7v0AzoBSN8xpC
b/H0fFeapsITTFe2xu66issI+hSgl+1Me4seC6Co1cNqTZF0mh23T8Gp1UuYVgUFC1z0RTjp3gtX
g20OmeTgQZSVkQ4srPQNA1ZqxCu7pl4EzG7UO8h20OYkZ7YZ0UheK0i4qS6Qb9gYO845D3qmGqx6
bxJ7+aldwso2avStdz1Iq9h2+Vz8cDs3K2hL7KyNGyfL5Sbzkg9hl+WLSvhMhoXWaKPNNjWjeVaR
4667tJ9VBV1MKSQbIw2Ho5cO/UoPumQTglc2n8ymJbeERmr46bci+bBd3Hvc0BakRXvwvq8iGEhu
mYfw3W4pgdCeIGhuQLYmvwzWVN/A51LpjrmdXCDZEKxVEbrG6V0HZhwia1H8w7v4Dmc8N2MWY4Zb
PXCbXfUd2v7ANZrXOqzU+yJaOCGOHEH+JaqZV56O43rsYIR9wJ8f70tnQeXI2GAFQ5ZY9iVI8rLf
zOZiJ7u5a8aO7XUooDxyi7SKNWfx2RnnKW0iK2OLstipGqr5H3O8/5a34a77ap7G4etrxLbwu1fh
b26H/3/9DfgMrrH+/3eDw2M7fOT1x18tDn9+z58eBzf4R8DqEzYG1oZIX7n6kv70OHjOPwLMSuDy
8HniS0Sa/tPi4P7D8kK8D0GAsYo1SY9v+l8Oh3/gubj+RHLPSBbigP/vOBxMshD+poC7bIpiQ2O7
3uaII8fqj3//i/EnXdBg2K5vo5JVbNB8o+W8jGVPQzl4wRAbIJDhWBNo9QF+yf/lcY6neLy+MCfu
vJbLfWztiRDCNIncme28CIW8jxu8qzpyesM8lYMRbFiXRQBsF2u4tUazsqNiAVZTY+B/kIuTPHDH
zGIDA248aTftH6ZMqt2KRErKkHa+QnqKBY1C5EezmSDa9eINuGN+UqmqnxxZIwxMUrYfVQqUfDMN
XneblAXZfZTtl9x1myeMkEWUIXYkm7FLDbCKbiMi0wq0H7Wmos4SnT/f2Eamr9UmglptlLdg74o7
wo3TO3M0XGPjABNmB3epee5Nvcxva1JZTvVUqyKerCk8dijMbzSU3lmMCUl7onHYvE5V8jNVdvvc
rxUPFh4Q4A6tYVn2IbaioyZBqduE5urtjDH8lRVY1UBKO8cqlXxdmjcB9WS+3tEFy50tdFdtbF0a
oNRZaX0VAJ6u9Wa+RyvOd1U4GqCgKepyN6hpXfIioxCtaNkMOFHgN50wSv3SZ2dyqvaN6MrvaNkQ
ptzcPIS9ePchst36ddMda7uzzqs9puHG6Tz7SC6ceNeW28foYmQVw5KPChiF2zJY9E8VuNmrZ6jq
+vPeoAV+1YWX3PllJrrIE6V4CiDU/SSOFxZrDmuNQ0MdQ2FhnyvaEP2wRWA/dWhp8NOqdsdqp8OL
Tnarja5N2PS0H7ravlF53m27ZnC2RiDJ83aNxInnoQneislGnwY3fuOnRfZs56N306Ry3UmjYnMv
BDL/vmI9igwrMc4DI4/9SG93k3IjblHuwsekWDxOHAqtjQjTBvHWhvNHV1+qPfUYhnpAsft1yu5a
UecPblJAN610/lIyFNnj+6VqzTJ3tySh91DBCJ83xQLNG72i/ik7SJKzR6lShUO169sgPae9IAon
NcNj0yFQ2KUml9kpIpNYYbWBYqmohfuKwjCUm8ZR5S0kLifqys5DRs7cdxbtZxqLAnbb0jh3rApe
wRY9nBC34uaFCFzeT4nTLNHYBOIkKDviZB2zfT0uw6uddfKR/NlhgAhTCgdStdC3auVM3aZE2/0q
hOpa63H1JBSA2c/QUh+xg5KUINQV1Fjr/qnUY3i+llnPKkvI7S8nm5uzW9HX2ll9GePovFSDTu+a
Ev6S013Vy6swgycRyiPS/NEQYXBBlrYjo2k54dLGqPZGCdiRMmm1YzdxYTvSAm6NASN3MFnDN6Oc
uq3DatWbZJnxonxbnNLBUF9LJ5qHZqabV5LDmWXv5WRoM42JOYJRIXieHFrHQRqpdPAxyTa7kDIy
7VqU9IdMKf95pvDpN0auswfZdt0Wm9qn4QCQpUnOlmdypLOHMnMJW2e1/EYClkxjvlt9tUmbvTnz
1FDvjctFLE310eI+3Mh+QvNZcNxMlAKvjkThhYyrOfhH+Gld0u7LPCl+6tYBs1o62nyAYqrue2kn
t0RPwSFdVp+o1zY10ph45uoJzdUD3rm4BCKsa/GU4dnZz31ovDd40e+N3vDfKkagj1xX4gXa6hI7
gzX+qIYg3U3lDD2PkNU32prmoQpwgG4baTZHf1Asc9MUgIoORhCqxJLsAmf1z10rUOktn4uKoV0h
8zfduTcuHshDQ4LVxuaaP0IE7N/yZS23lYdwNec26FBE/+Hgz0s68MkWEwxvkmrHKtDfWbYYmWQ1
Rwm5aD9NxYw+Maz+UfIMg6PdLM1wnLv1fgpKHRGuUrXIz0NyDBdzeLHE0MWTI/Sp9+psoUaCqw20
Fhk67OAC4q9/JkLLfB3zhKD/wtLrmWntdctpFbeds5pbwxvmHZWwvWmbwkWnWhRH2cCkZWY+WRNE
u6OzmU9OFzDtcUr1repBeLdk0e4Kna7nfAzHy7zwj7ms811rzPZznQozCqtufAA5Ye35/Jgc8cZd
CrtqLgo1c8t0N7mpnBxoeo5atBE6LbYALcfLpNb+XBXDE1/L47VrT15Q0TzW3Thv++tHUvqpsbez
wvok3zm7Wf1JfGeQFv6SEL2RYP3WPSEIVJAUxuDMsJi5R4USH7bV3ay86lcx0b8wxWqfW50Yb2vC
8xXF4k6n8oj0WBeoHr513zH6/LDBC8ekyzFhM1v/WClrOkDsCA/mOC+RR8LXaRXQSqc8RUligvlp
mp17X/Vpd2vCHtx2vZXtJ2mL/eo7ZzCUbAjBhY06R34kvk6hQkHAMUTTXspwZSIuxHhgzmvBdezM
08A6U+QjH90mIi+OMwpOXC9dzVWh0x9VkZUXEG/sOym3PcKhGXb2UPQ7g8/5W8n789nNTnEbzGb6
3EndXigFkuNsGw/MXDfIXQwoBFTU2i6MPbgTboDZ9vZ57lix7a9tHJjNwL3IKZc1Jr72AqS1vfPD
ofuk2+WxxKnirLHNnhnnudfuUs0aXZAJe6dNczUi2cMnYzdm2iJSqyPVFpjtALZkkNEuWj15HzP9
1hStFeoEQ/D8wZ7n/iTY39i6s4mkPY/lKWgkuwkM6A+5JZMnpIYwGg1ETuDmoGFNa95ZE4Bknfn5
BVhaeSLg970K0v49MwbzIINJbRvVuQ9wFHVs9eCwVTfps2YtH03fzLb8fetN6PZGlDcVQkNSOtzr
tjE/rMwQmT7brQIqvM7hRiJfflOobxeUtXTn0EvfpKZbHlE7JpQPYdwzjvPuSFNUP8RaQ0wGyvGY
zt68VT0D6tlbsUY0NVn1U7qnf89u7VK9ov33kVsuDnyAClZqGTrdcZgqZ2diuGDPi1CUKrLDbH5e
zdx+noZ+KRhQ5t2pzRzG3N64gcoqbvQEXz1jn/K+8q3ROztmYR88a5iP9NnjicxAF/H8hsJl5swz
KiuyVotZySxcnlcQ7k5OogvmFFbGlufa9Hv6SHpB1zHrB3JoOJSEGitSzJJgODcWMS2z5NAUVEs/
F8Rxg8l5VyB2jhMCCnbKo10QqorOPKgVg0KfnbsQZWvJSRImcBrSsVcHP1wZOnszC75r5n+HdWzX
h3VGxaYCzC+mN/4wvMk+2OFEBb1404vHqGxnDNbyyxgFTwDnOsTi9YUbut75praa+jWlj3xTXS1f
lsyjF+5lOn/wd1gINlXQRUS6L8+5tOVuMev+Y1qd9pSbfdtGmV+XX7BubUJ0czpYYaHQoTowMbaN
5m20zIRhasCRVflDyWYc1DpZdYoRqTvvkdW92znonWvZr/ddNjPySLs0e1/LxtoOlBCwNhBlOyYB
STXFWdabr06QyaO5zvauS8bmRHhVdZ4TmZy8plMXb3WSj3DU4mEkEOGzEpZ1ZHdVxX7SCESMvkti
iLjWOawDgvaZFhUka1J03dSYyW8oQAB/maYYd+7UTJdgNQx4xFbzs8lGpuGdcZUNHHlfJ4OzEwrZ
jTfSDM/LnLYE+wEzPpdWN0HbDtTL0tfZYQUV/dOrBWMkocef81hb465knIvwMxv7wpx0TDM/HlG7
Ae5O3FNuMeW/mPtaz7Y9fAuT6iS6xr6E6plsd/2kwqu8shRbtN8TV8564n+MI81DzjLZ6lnblEjS
uDQ8O49CXt3PuZT2D3R/3HxL2rXfdTPwNBsEmOnEnS5Dutr35VrBRp9LcXCzpH6yCrChDNLUJdeB
9wBnsTx6PaO0tHFKToL2ra+CWwqcXVEViNnoX+HdZFnJeS1kfbCFZ++5O5ptEYQIF2xO3VhFO/2o
Om7qZTTkGxjMdFeGtbXLNafIJnVDESdC18eKtRodM2xXZLlo+oFmcattmEz6wcm0vYddykAGTXnX
idQ6ylXrJ+1XCzh47rx7MSr5qxXDfLLzqTjMMlFvmWtvjbx4RUfeZGW19SacIplxcz1rp06+6DC5
T4LmvqVf3NrJ8phMNUqYVT/qxt7UOjxb2n+qWkZlQfIIVOPL88WThbZS+MmlKgVDYWTVzdyyUcgR
q7ydm9tgDpre+1qUnvjttntXs4XEKM8V3bFbqulUFyyHdn5OcEc4eZceAOnGLO3kWWSmvLK927ts
RrXs3DrdT10m73MGzvtZJVeGtRQ7swxgLtNOvJS4HPBBsNa/qOUmTYzgkgzWepx8fS7qbkH/r215
cfzBvWGcr06pW2wh3HXHHJ4lpaCZ/sIg4XJHWi4VtZ29pvCJNwbTom69oo41xzSHvcdxcaHuLR6y
muWQTJ2NYXIvY16OrE8yBDBix5fuM2VLYMRj0z8qZPIbPGjh1lnT9LGeqiDScqI9HBLbOYFNsR7M
2uv3WYDHK56lnnlIgQ94yQtldzF3wPLqJ3lP9BUBBu+8Belb62nj3jbK0o6zPp+zLQASGTP9XPdC
Dw62qDV9YvLqM8sZnGJvXEu8pJbOwCh13rH8Vj9UmfWrKK65sx4C4kOYu95HU7EF2taLPBnrbO7y
zO8e1qWQ/i5wV2eCj1xRabo6fF17pngqbBRGtaHpL8NarMybjfY1HOvRiwoij341vWJCbXHi7npl
2Hs1zdU9KUXra61syiyP4KktVY9zSudenBlUWvEkVXrIwy68Rv2RTzrlIosz6eu9v+aEatDyHxoD
tBedetHspkSY51yjUi5uKc5GmZTbqdHmnlxTXccBNDgOsVSX5YYzpjz70nO2ydVM4432bEQOs5gb
vzT9c5EEJi3t0JwzJRodGYmZHjFc6efanzWRrGnhRatnjw8yrLkXkjVJ98vQcNgwufO3yAnqzrCV
t+2GLD8UVcl6KxIAv0NhRePJMndbz0zSrVKJxKmCFaLfejhOYmKiuP6xPKCAVjCwytRhzDxUy2Hq
EZWA5qDMh+gEUENnL43SYoKBVJMcxMjbXb9Gxa0+9FZ1n0lv5JW7nP7L0J4L24OpPhji2erzZt/k
ufzhpYl9qlC4+d5Wv1JZBTczufYnyYz6OC/t+jSEa3PUkwMepOpdJPd2uvWmNfuhOsBnG3e0GJWK
tEcOaKXPeD+klx9ru4qM1io2CE1DfxgZFD+xNs2av+zUU25W9T7zQ/tpqq2QeU0wKnDIZX2iw2+O
vRbhnukaz0Ia5Sa2s7nY0SDII0NkbIRryaNO0llhC6Ovda95XfYzJoc5thKreGPiaNw7wjd+KX+w
GAT59dZLbYE+0aULwM6BmDhY61sbJ8QtlHLrGGZ1/SvJxvChSxQPHCcwv4kkS0hxaVzqPCxf68YV
bfhLj3nT4hFtcaeIFTmb6DDBfWJN9yvbdXeWWMp0w7bWcF5bu75vHLnceV5hUdIKb3wXlWMcka+5
uTp6qmPdl/5jkZjeY9ovy1Mz9NPBZeB/yw0xnIbAq84s6LkxtyfBBJRrUabM+S1lE50KzljPMqvH
T6Ods++N0+tTGyzNrlCdQWdmzwe/ncyjYdBkB2pu2Wytq/th6uofXTbVN+2SG7uyZhgp6jk5QrFH
pFoNfYMf0T5ir60Pla7SR0iOPuaZKfMPylqm2yqgoNw4lu6/rE71OGpnn1id2ckOrT2u5qbue5SW
lQsyxO/UJjsLFN+ZwP7mu/Ca+smo5PBcWq58TKo23Fq5bR4YCxe37uLYt4vw5yfXd9Q3LQ3rwcjI
vnUYsT9cJw6nySo7lCImLQwn7PCbLUTcm4aOvMmsNjpIg+NUF9UtkfnTwfZm46bKS4d3rJ1ZJzaS
xyRPaKttkUWlzP1yMyx+H/wxAKfdLNlUFS55R8LihSztvPcTCxfhHBripwsr6CyuFNaNvzYvedb3
+9XC/Wkmg/kpp3R+bNa2OgB8NvcueDLcLl5xtrin+42nZdNHFp4wCiZ8l3Sxzj1apx8Humr3RtMN
u6nAydmjfowveSLCJ0/13qPnquSZxtTY6aXN3x1NrmHFyh4ewLx/WtP2v9g7syS5kSXLbqU2AApm
GD4bcPgY7jFP/IEEGSTm2QADsJteS2+sjzPz9WO+knoi+VvV+ZkkY3B3mKnqPfeqFlCpKhbZx9W2
Ho3p4ibjz5xp02MHzx3D92npubwGfq1Tarz16EfcfxWrcOpCRrPQ2Ypt5u4GBCFmjs26rDAm6CCA
9/K2ua0leZDFfXWycpq/dC7ytxj0IbA40g9+W8DjVeYc+LPwmFCpx0UmeihZZsFXmWF9SmusTg0N
8V2sCGwcMy7A6jofHBvLvB3cxHgR1jDdpsoq3/xkfrYXUZrIi9AlTAoza0889uIENNH9IUn6bN8w
SFGhoRe4if24YdRFTUR9RCQlu6PI2TDrG4rmea/ZlKeOZvTe3iqLpWQjWDu+DQA+RSBZhzZxrhAA
uG07w7qL2YrMp2gmvW9HtUqVjPbAKFCvzHcP0trd9oBdBssXRlJa7YZ8Wp9xlc5HO1KVbNy3sYiN
PLIqBYQ5xblgMV4KRhzwOWNaV6e59Z4bzOSQQLITN+38JCTc9wYH/aJgjfv03jMYmkFf8hVgTWfz
LKQNU6clUzPth7XOLBqCPrU2fVvUeOLn+dsKOSTDXrO6CyWDdrJtkPiQspZpX58yfQQHRHuux3H+
hslcXPrY5dsJJbtHK6XtZqaZrmKPPzjj7e+zKoGLGTNI0fwqdZaZzkrcdV73FtwF/LUzW0yspvqY
iEJEPFPqR+IwvbuWFpz3ImNZPZRUfQSHoYEvDBfAUJHuF2qjIc6/RpkTRcBGDfFVyzf8vV+YPslI
VETQPPxitujSVx4lfkXZ1ke2kM6RV42QLHPO/MSU0FvTMARZMfp3SerFR87d8WGAnog0Zw6XTrQX
z2sM8DKtfKpHKz8no3XLRrh7Mga70Cj0OqX3ZLqhN0QNE7FGbVanxU0ureRm0O365Mba1wp1eQw0
g/YTnZ2TMnGdNIhZ3fStJ6JiY3Sudu9AgW0y130T6U1tu8+CPMuAIrn+kck422lmPkZg996+Xoip
i8XkvA4E6xL4FHvVlkTBeOu1dUJH3xpo1PEjhgMZJBYXplOASfMyrXvRU0DNi1d9nYapvKm6yduY
/Uqen/KTWzi3YbskVUE/Y46B6H1/kyWxgh8GbgxYY2NvHIq+o1cu+YfXM4ruKdQ+DKef3yqCPl8Q
XeWh1qb0tWHcFUfjcsXtxrzB9jC7hPqjaKWmoppitiattrkkfObODR/u+9j1qzPHT3HxR+79YI2d
LN12so0fNVY33vXJMOyqHGaPCUnD/SAbHpx5ST57eFI3nKy2fFhW5vwUeu7t2lp8sJieNfQ8Q+/M
f+yu+lva7H933/k1NeDfybJ/eNVl8x/bH58/+o/yd332j3/7pzxrY0HHRs7aiuvCJUB37Fb/sKCL
LyYbCCEmSeDBm37dZvenPqsZzhcH45DBlkKHAGmyJ38TaN0vCIEOCi0pyA5Krf13BFp20/xFn3Wv
ey1IaEFPsfkzhKl/MdDZS7+KoQI2hxvpk+uBo8zv82Tm6UlBPHSfNNu+d8GasOvy7iYWzm5tzK1h
Dacq4WkpHD8P2NW6Kcv33lNbUlAOeiJOFfpt3TQPay5v+jqLVAbsWXTf+5nPuCa0sCzaH4PIj1Wc
biatulctR4sLV+AYPflg7lZaPToSOm3Lsm+6zXfTdXdLnL5gWtqpSdwV5Xojk6kIR2vdQFnfjYwe
sb9EfepvJ1Xt6thiRtZrgEH9LjGzbcXejsDN9B9OET8mmrVn16XJ6a7vpOm/q87YLblxNEktsEb7
sTNQgulwuxT8zcv2drHszbg8j+V8MMxhm9fx0bv6mAbX29VW+45ZjuPCiY+8MkcQ++3yQ7Vn6T6Z
SB+GBs81vpTSC/E/r4G19rsaJEXKjvh1LxR+ta9y/p9vM03pZ0iRYuss43Otp6e4V81mRMa0QRw1
kuRJQ7FTtA1+HfsIU3U99QHoB4LF9ajTilDPRtRhTkL1c1me13y87qMOtcE5JJ29gYChc1qOHgNN
Q1IiCioRoKZm/RAVZzSuhXFqDnbn3Cf521AvG6tdD0Cn4cC3tI1jXY7EKT+0Onevek2yeZs5za7n
7fQu8EJUVV6Yky8nljicp7Pnl6FrRWj1m4rfdfSSKO/TCCVj15r93po0MOT3Xh0BbqJquB2Xz8Qx
Q109jOkLdrel+IlUuG28futZX9MB/To/auWDmYbokPtVG3YFxJYrxZYIrciFDqfi98O0mx9NehgI
9Hca0V1clGBs3s0cd+eJY93O4zn0nHTLNXELfLafeufgee5rkbZ3yeo8sNZjn7F8wMiY1Pq8gzJ+
idnXV8r6MsTpOU7kzrCc3azPTA5aZ2sM4sATdSizicbfPYiy3w1Lf3HtaTf65bYt4l1mLpu4yQHa
K8kbR+czpudsRl4qCj6kujgpP414AZ5bUx6LxijC1RWUExa3s+owTZTRslifmci3qZOYwbT2keHP
N5W97pHndn5RdQGcBBCBb+3KOb4tLetoxsPOZk1nNSVIIip96zLzDBu3j40u485t9ymY0Y74cITs
Mt3oifVSZ+NbosZXSwpzI0tcMZwAD31aCSpGP0pEd1r0dufkMU8fcl1neofZHw/G6Hzv0oGP9+BG
7JP9gE/PSQgC/ssR4igmiaQHo34UcvlOnUGuTsbAMPVCyuCXlXu9ZfN43hQogePohF1ix96rr6Zu
jZRTCAPUrjPlVy2zBWPgVe3FsIy7we+++5McIq1Q7ZabvET0NqewytzvbdxpAXhufqk68VmvxdOs
0FHoIrlaBz2lhMoPMLTZllBVbIZaDiHfT9k2VnJ6yNv1ibA94I+iO80gZPAVqDsqfeHk2faJyeTC
2idusXHoq5z75qXoy03JjlkpINxcYj/NjBzfhUffqaxtI5utVkgO0SEa+AURhu5MNW2Hyp02tW/8
LCaZH8rCOkzZGrVePGysomMJRrxPZhJllHZWphNlGjv2LICMptYYjfmPvWac0ImxWuX2iSYv7A2F
9JbN5oZM33fPbM6Fq86ZdPb5oO0WVrU29frTtwBztas22nfuxnKITqzXz5rNp63jH3zfOYxTfedm
Cctry/pR6dneVdZBVP2TJuKdW8evpfS3hCHOQGhQnfregC2VbnEZvPGcTMj/lTabHAgEv4/2DvF8
vy6rAEsR32m4boykOmEK+VZmxn2SFeeknO7n3D/YZBwG9fruGJIBbmm5DCTSWwRYhJHWoh0q8M+i
p6ZGRJ/ns6PYQTnpS+3R86qzs7b25u/Taf/dK6ArZfZvS6BzVn8M/7Gj+smG38ufP//hPyJ4/C8s
qwNOM3zDYLnUNY//z/rHMb5cA6fIziNqhwj0azrP/6t/7C+mRV0EhcayOwdW7Z/1j2l+Ia6HzBGC
fa4FFVzb34jgMSz9asH+S5CBz0SKr2gCqlFQ/Yr3/A1Qm2bMVEttm+FCatqdcFhNRKLeFDBgbS5m
aX5ln9Ht4mdpZMhks1ZCD61BIubhyKq90fjoVuUfaFiTbetB5KpkSgNLy8DR4LZCgUcrslQe80G1
n/gsOzz+TX1xTT27SfISqEGWBWPHnJv4uqVKTzzIttkskcSHfT4mEBrxwirs/HbKx3aLW+KhW9SO
LqhgnCq0DaaU1+KqxCwTd4FVY+Lo+qkLs84ZntvF728kz2ektSo72HkOOjz3zx0aGP15b393HNof
mGlKEL7trtAW/MVanX6AbdiPyOIrd7XjbrPW+cTFcWkFmK7uSJfIenceeVkaMzTIsNoDDhdhp9Q7
C47aw8zI6S7PKARYo0x+JQ/3rlmW5cLw8zbRrpPFWTN2pYEn2GZ11teJGO2NUVRjYE2+lvAiti8d
M8+B6mcrFz+/xTGAZj+iV5sNC6BxCY4M3bImcEf7ftZqZxPX7YzmXhRPjjZbD/lAGzu49XahQg8s
c0Bd9hpI275GXa27KLcr75iK/jKJlftpEAsWkvVZR5oJrpgHRA1V6Mz86ZC57FPR+xYYPM+dhwZt
FsxY4FPzmVAYzAej9QqWSZwCNrxHJNKyPjpxc5js2WbHULv6kWJvMSmV3auxErWp0eYF5KN3PWM/
sGmj0+zDqPXDxhzjb30+4laXY/cgNO2F5WCRcl2qan1+qNrlLsGOGTIwwBAMtAt4bWITHZGSqaxD
sYzvjDNftdKlNJ1f7RjvxyoxtUAE6owX+6OaO6IgubnBwOniZ7+MD50Lkb8UikUueUwjLtu+f0o8
G+l4NHbCl68W3+MpZTi0x1I1fKxDfzdqM1rw4KgnL237G0PJr1CVz/nsvLT+8LMAHQqR0nZt419c
xsjFvTNr488Eiac/zJMHSGa0hsR51TjtfEC6oYYfiTDzTnm1zF8Xuxfmrc606mKzThbXbo4V/HZa
4+p2FHBpbYjCJF6k1rpGHrpLu+DiQ7HBRYAH6bZ1yIILWIPc18ylLH/F4md7AqM9bo0ojeFXAzsd
E/e5LizsyXlvdh7vhYEu3yycX9vVwebF3MYo5oC0BdM+F7Ff3dZNm7QXYBD8U5HemS01ksMz0G2t
LEurqFI1JTu8rZF99o0dF+TErTKJirpqX/D4uXCpborxd2Vpbah7moZXkfkrUxo3Ue+V8qbkCMab
XRJpe95ukNATMavztE1lIVaCLmbVuGX+0vG4dT3yO+Vl2XFXK8m2OGsxxaFgejRuCqIgngz8mfHG
Xbqii2y/1B/ciV2ezBuvAxSv7Voy+A3KmG0BmeDvM1w2TsMDbcKDdmJemYT5Q4aXXXWj7gfdGI9u
gLm7wBoDnCr30Kizs/Eqoju3Jqn43XaNPUMnatqWY9Q5hU/cpzuRayB0Lc8QrV1cwdKTwkMOmeNX
fcJUupkZhq3h2tbO84AvJQ2GfGnykG2WYCVJKbvu5HXocIHhrbCGFkrRoUlTKpjFzYZXApkT42du
4BkE1RXp/eQRrkihUc3QYSPmceThwr9uV2iFvFSDxxR0SOQqzwvyk3bp/RoZXNfGZLnz9UHIJw1c
Y8C45Zj7hilut20YgBaHIq59LfBaxrK7stdo2kzorg/omfVHM9jxQ+GnvCCNny1+lKU+wbru0sOD
+LK3nO+kX9h3PksKP2YIsw9bKSeO3MyarA29rS23NXerHzatyFhG4jQT20O9qkPthllx9hTfeXcf
m6NXRK3yEZIt1LsC2+3IBJat4vPj6M7yFuutuZ1MbdqXznrSQUZP6KxtRCJsfQ8NfclyHfd6IdQm
Vd68HYekuU1cHbDR19WtR/EZrKIijnVpeY2nVH0YSb7uUje7zL1LEekD0g3ZoN9oq0OwQDUfgN7Y
/RyXMhxocCGSk43eOfWmG9rhTE7qEqy0CIHrjdkW0oTIESxZyJXxru1ZnGMVRhYVM/jl1FSPZTLd
J0zjMclWTcgg180C52p6yJciKZ57HfH8BjFwX2F/D1QrWRZDW+V+LQC/5h2rle7qxm2PDWBmkPmr
c2gS7eJ07noqtHLX005K1F9sqOd0bnUa/G4/Ttg21soKZNn87Fsg4HREHko14w5OFkNgDqU4DMLb
eKVroTrEnAnNXXz9hILEYEIVjFg1lJaF0yqYisa8NF2joKfiLW5hLMet9dkq561LlH5s2KjD7Xg1
d3kzQ/rWPRN7Om2IydVgl829uTSRZlR7dzWsfa/k8MNdndB0smLTFqXapxjD6a2k1mzckas5b71X
OdZPvaEDgPOB2Nga1hBsJj4TyP7bkAyF3Djz9IAQxLTdpUJaIqnFq8lNVTOUaEnh2ECacmKgN55y
tdTgk1r26DCmxtgD4IihamBqdEyxe2YYMEXpvHa/fDkppsZ159rJ4l5QJuXJ1KjNgNqu7h4nVlMS
9RUqVgDLg196JdglvoeWdUGV437AmOXUitsSvCXzmzVqUtcDkVz1tgg8ueb3ud7IR8AJ1sBPGfka
8IQ4kxTVV7st+9px7mTKbt/NmC2Fvxmqrq1PFTL0HtrXZS944Qn6tSxdDeNo2wmjflWYJRarq9uq
+mW8EkJp3V5JXfKaTqYjD+PQpVBGI1/oQOzt1duV14U9vddaWjk7/w/zV573WLkrs6viQ/rLK7Zm
sZ0fF+yJxnMtSi5fcg8yJkodfWcgrv6jEzvfUT/za5gIJYhheK+rZ/BcWWwFywYSBAZ3OJfaUPUw
QtBzd8ALarzTh/FqdRg0bY0jfFDjwyi6An2Pxar3vo74ECns6939Qs3zLm0Y3tvG9ZY1ZBHXVAb4
dxu22Zh14j1qieNIVDkjE7d5BxEZ9unY+pvYnRuqQyqqds9PMQA3pEqkB1fPnCJQlAbsuPRUluhR
MeBpzAu9pGqQTAa1xJfpc1UtxbppFeIU+BrGiAfyGd6dqvD2KGj7jAhathP53RY/5o4pU7/XxmtN
O3AJeX6R8f3mkz9l41PGGJOoIuO7n2rfCsg3QsutjNSCPtYEHpM5fxztmB9TiBhuqHlWAPqNrkfU
bRtfk+wLtux0o/S13VVDuye4BlhK+skzXGsojO5suBjKmqqO6QAqQuXZ4xG4rEGl3fW3rmbTkeql
j+pbH8eueXIRkQNgGqSi1d/DUWwIfLhl8K7ueYFfsYukwWyVt7oojrJz+9BT+OGl1x2Xuc738egc
KIluExJZ3jnG5osj2ViWpY+jBpZh2ZFTljLqh/rNgPPixEERbgAz506+lF17N/jjPjXrbwxUKmy9
DFFS6z4lnSa0427+miUkQ/GETtgzj4suu73Bp88p0o01t6S+5y1Ge5z0gVas3wwVnyEVHqUdG2Ay
05nsRoybnt/dZALdrrGuFZHrv2K8werfND/XKZGb2Lniu5Lf01MXj9tlMvydnKqzO2j3ZZW/rN5w
sZbmDpwpO7px+b0diUSohkRDHLVSQGMZB6pr3rKVABxNQDbGSwlwUrbtt2nsH0fdezBY9RQmyXRO
mVjRS23ht0/w7h33nduGae/drPVAMYoRyFvkxSmNe6+1aCNUe5f7zr0jwO0s+TI1WH51c/B5RIGB
rRGjyCLkG1c1JbLKb0YkK8o8saPUfWsSue2Wjku8achQYVC+KBVZU3s0a6l2+dXUmvvtZ2w6zJiV
+OhjJ7BSvJ+Df1yT5UXQGkWtZZLGkzifs09R3q50fVhirWr9Nv0yNLO7ZWdn5VtOM8Td0k7iZEv3
VV+79Qebn6eb2M6e2c8rH9WA5KPbQZfNB44B2lbkvaSLj321PBeVfqrXlfFrHd8pptJO7d4M9G7U
l1Hu6dPLMo43azvfFTRWl87zHu1S5lgfr8TVhD0x72cB7UgshGcK76sqxWZx8vbB7mrr3bHVS4Z3
ZzNMiNakptOWJWD8ThXfpV2DB8dftY0/FOYpJnEhWgaDt2fpjGIL7LzcscjlrojBQZNBJ50sa7+v
GlFa2eiqGy6bNiBG3IjWeYadIdn3wNcwk9C3SjYn2TzDVZZj1dLEprGn5jjLuGOO6I/bdXR6ubNH
qzURBoyrbtrAHb4W8XzNqCkGojJsNcW39rgMEDs4hqvuli5ubraDaWbjQcNgz6aFONX3lOmwRIQN
pR2GiWnII9oedGGMyrmeHGohJvK/VVcywxMDmq5GKkPBr9Tjyl/9BWu7VTj8qcAu7nJOYPYXY46U
rfxBOw2gRm4I+aPlN3MnCJqvq2R+mubYfF8J61A3U0Ug3uZKXp5yHUqPVmjM6gK32yBWRue9S8HW
L/6xyOuVLPkUDFkxgGk5E5Y8miFHqGb7ht9KUy6zR42YJR2fK/s66nbqbxys9+nepI85p05Kw+Or
ipJcyypKWjj85jOO2+k40liRK1K7xaFtZXJfMICrwUgH66eFvvpUJxCqWw1ggqJ2Jvl6wDIUgjZ9
OOX6lthWfjd0UvDCNX56bEwlpu1MEkd+JfyOUsR3pmvhm5hPAPMX0h3aatNLUz9X3uyf6koZzraz
UUZ3ppP0W3esLz1Mwez5ND451olkAiiLUYiuoXLXMDsTUcnelpB/pFyMgRrRKeb1zsauS7ocqQSp
C1CCkNJdzYHWuLN868WiCzylHkkVTYYIppqwL/WWCUj1IROx7AeisMJR5G3QDdWFvAlqS6dTwWyY
L7Iclqha3U/uoctsz3itrMdZuGl8UJZKqHSsWPvQ/dp/jBccYdE6ZDLZlsP4wGQrvsmJAOC0YFj9
lDQEakVKm8qHpooLA/wLkxFwbdktG5LDXHnjuZa/W5mKx2GT24rfp1F9cSIf5oyrcNvkJBSZPMVE
rHUkJHwOuryY10QPs9lIjDWUbKo5Sx9hQm+/5eYy3KiGhCdFWF6e6ckOcMfYkOeQcjKaAMbz94rx
AKWH3xHpteacWMJ8oH2k8Wd1IVEkvo+KXS+I98MPLVnRUpjBfthOc8z0qbmf50oLeg7MHdfzWj/m
RUfJJ1RnuWCyI/1kUl1Lrz/YC0/4fVD0LX9FbzwyTRhU5x90P7w6o86ZaWcupViikzOGS8uEjCCr
O2aZbomngXHbNcSq0RoRUYfy+NuJR0GXG116z90NUQQgVm/VartbYvmw1cU07tjpY2t5rStrqsNe
Dj25WSxH5FUZBJk+BaYPRDQ7Vf2578pqeMAqgOPd67VsYHVFM/URkYu4vV0ibvzvXe17b0t6HcSl
WE7xD9JQh2RRULey/+JaZlopx84s0MLwXuTcFBhXFFBZQUIOkAzime/ChMPW0K3qgIvGpDePLFGU
J0O5xZ09WN7PrNOhkJPG21eMFKnVJWO9ttW/NxbzONybJapIObbPnkhV5KXLXbsMBM+R4njwxvFH
1awVtr9GbeORUKhjW5sAVqqNevIY/GM6i2nFzJD01n2+uHPF03/NCmI4WMiQ5tTPj8pHZ9gY5Twk
p8EVbbuTFKyf3TUvK0DEgjd0k9wHMcdHF8iiUP5uyDlpL8pt6iMYadweJP7VjCBI9hocCrZiV8E6
GsN8Yl80LUvRMUGONJdLg3gT4GsmMS3DtqyyRHJsSwa9kUYMgRckg4xvr2uxcarruBdJ25vfOt/y
n9MFt8kQX2FtjDXwiNRYpaXPL2y5/9asVn/Qs4rJEjOeH3Zs8pnUwZo/lOeWu4Y3OyHNy7WfJxJA
TLBfRws6h55hxcv5aBXpuudJ8H2mUXzvjTEzesFhmHrzjWy0FIQrt+KkOhOtNxuPAxF7w5Yzpu5u
C5UhouCJJTVimmleDgUCXf6x9nr3SDs4xAGNa7felaC888ecN1iLCV5cnCdn0oHZ+17H0tFnDnQR
y/m0Ep2d9c5M7jz7WfV6XT9QBLf1vSWWrH/OF8tJDjJmCwk8leYT62RntPGh7EhVi+TaTPUG1tAn
/gzMvlpvBAReuVP1SL0QD2Wd7hH0yeqpeq3In/hVADs9oHNjC07GGz36dpLel0PT21y6c/EeWzOq
FI5JzfjpGF31LeO9+Um7bVRvxJaxaWUgd2GwSsknM7Xz+tuY5HCBGmj9uCFIjJ9RsY6D4VBqJfpt
XNbym61JqSLEOY9h5CCrU4ZjR2y7jiRB3jp1zRdMGuI0SUwhXoks/7gKakNajzE3kHFHqddb4ThZ
/U2i+ZMHFECg6GZU5VCF8axL5osOyaaRZ9draMz66kaxsCAo5zZzGX2lyJdrb/Dx1BbXXCPK4+Rz
iPEmBh58PCjUyAsUMppbOSFkzKE2EO1z/ZnLTEa2PXKUtbE7zBffLtPDaAChEbHiXfv3kRQ9FMM8
dyNByYMUWLUtP4BnzcXO48m6zG5ZJrd4EzOeoXz03ngytY2WVJP7ho7svU+zsh84I6gCvVbjrO88
yn+ZbkiXzbnrAbHQNrJvU5+kpOz042VtuhWJbrEeSidbtm0i3C2xDtlFTNahk9J8Wdx4j7tl2NuO
OUcxc89nnx91T8VBmbRmbYzxsJvDFQ8Y48xWBOXa1efGmIq9aPuP1GjHra537JrD/BAuHLmXviSh
I246dvqZscspmAA+xJl9FDbextaxDppYf2BRPXQVlIZHNw1npYeL6bebRRpPoh/iUI1D+e4adf0o
OcP3s1E6wdrKh0H0+7oTD7gq5Xe78Z58rzxC3bRBSU2yGXXTfazxLiZ+e+4nDcN0Axvv5yroMy9K
imTdso8yeSEW8nOqY3+bW5Nx9KpF6wCK8yVQGa9FoJEOVgY9Gg6DHcf9/7DVf1rygT8Y5ui/zsD4
X+VH0nz8RWT845/8Q2N0vhgOjJRACrSFMAXx0X9qjBaMlYX6yHfQHRYi6eBX/9AYCc4gLwMZ0WV1
i2GxEOqfGqOhf7F9n2qKg/y6BoSVyX9HY7z+BL9LjKy/YnEQA0l27MBsgXzx579JjD2kUREnCcqC
oexd3GieepSMCRAlwCreZu4eticR3wNbLFZqP2AAk2yfZTTjHfAo485pwZwZruCpI4N98kP1QHBT
/1iKoXx0r+c+7myRfU3bWtco5Uf3Ea/+THhUgvNWNhQq2Hvb4qT5qU0jUDaMljqCd7wIX0KJt6UT
8U2KLaJ5sippP4zL6OXXAdzMOptuGrJXvzJab1unuq62BkZ2po+2BomKO3PNIpf9kSG5y3yzwvNf
lomNU1Hitn3x5GeyeqBq1edAaXlykhPRzoFmIPALx+bJAcXFSFAWY19f4Dhx+aIYez876B1t4xh+
deNaLr6xAobyvbWzgQy+dokrNqA1OLbMfjAURzx87LTO6gfMcppgMViIfDb7vOl5dgv/MbUzh5pJ
WpiPrSaDmYjVNbenHV0729AZFa9zO4hyv462MrcqVuypbAkuCjw9RcchXnk4T+NElKTtq/JdLhxC
W1iekYW/CRR9YI21VW/StisVAcwkg0yEJn1lQ5U1bQrFjJ+YjCZlvpBR3w3FRBBE167royPtKotq
FBCCNOREITqZbfdzJM9JsevNnudQVU2abJ1UJsPzatisoFKunp97bEn0U3o8jkAjjPU2ouvKbwPZ
Re9kuLaPCbLhB5FSSgRT3va3nUO7EGG84SdImUxY+5ip+6VbzBTdha9gRx6jBf889oZtBIvv6D8t
lpL/TP2ZPBDR9TnBBwAr2w5TcB+atSiKszL0wdk6RH6hQ/7KJVZ6OjXBgoMaWvwaXVx5OYoY9DmB
mi0xEY+1DyceMidTb8JX63JgDtmt11xu0knY+WUiZEy0xmHlatQHXirq9Tirder2JRuX13BObO21
9IyxDwed7LMw01dEh0712f3qcd+uSX5V+dzO+MTgQkAxtXljnsyeSz3wSaJLA84U50l6NdV5k/Vk
2HlTYX+3rGv4MWAD7LHO08DEFfNfudcdD9aEnHHc5K3WdGNYjlphhApbPhqHM17nlUbPJBjPLLxW
jeL1KoloIlUwEy2h5Y4GY/jbaXj3B6nw+9KTvwbskNFD5o5jQy+4Jg2G/q9bD+dSI9V65SFvhsn9
NGYMH+XAKxdovecG//57Gf8CS/z5zVyT/3ic2Mj215NMNWK1l8kumdZV9cbjaNVCx/GGm16russS
LwyC3XHcCz8nQizLzUMCC7D/9VP8LQT5f0I8FFSK4N3+r6/GXZP9n//915vxj3/yD/zY+cIHgj2R
wmc/JZsHf8NvrC8mQDJoMp5k3+Sv/PNqNMwvFtefqXNpcrVCBv92NfpcjcK63sAgPXDSf+9q5CL8
l7vRMEzd04XNiW5w44rrn/92Nxp2KhZRJC5G8EZlAW0DXaGSM8Z5z1XxZa7H2d+RJA5w6l5z8iNc
ZqT+uhOl2nBtOPWYmcHOwfGcnOZfPSmMn5ZjxO6RHwXTRzJuNXet7jPqb+s++dXbavi+/GM8s8d6
dgkEyPQYd2zelfuSSVRE0EEV6iX3iIgJKXX8diBye/6EwJFheW2sF1iRo41T+ccqbf17rplZyBKE
OhKzBUl57c9Xw4HpNGdX7hwh5Qk1q3n0bXvazA7GIHqpa7PPSEw74qlS36RnMw5Qv0YD068xAT0H
IwPmHRxQhcurEpaZqUWY4lKTUF9mDe4ohf89/jWCsFWr+sj9NZqYfIMxhUaG4/CgWdfxRf5rlKEQ
EOEQ/i93Z9IcOXIm0b8imztk2BE4zAVA7tzXIi8wklWFwL6vv34esqVRFbunyvo6kskkk4lCZmKL
8M/9ObRRNI561TsWWhgKnzjj/Ey0D0FkPosjbp3Yp7rH7jKcxZN01VGgxoAhdM7ySrEqLcVZdGEO
hACz/CHG8DAEbbSsIo2p6EgySreKN2fkeLIqOhC3KvxAZ6HHXBj3obWQvYnAmzNFOctCzOss+yY9
y0Vo13pxP1jGuOtmpqFyVZbA2jIssg42e7LnOe9p5+6wtg5KqiJqsu2uqX9t36BZPDatQMCb1YZc
pUFaDUCh4perygWCQmMew/xRmdAL8Y+Qsp+5CFdpDODRd7nIQ252t/RlCF5HvMBFA+8VXa06K2xg
qIzSG6fq0U2ar06eQNGAlzMhzeUs+XwI8kCszuIdxnGEPCMpw2JTnQU+4KvZnTzLfuaqAA6qRPmq
GMwe69T9UPhlo617lg21VUHM+i56n86yYmfUCRKj0n+UqcHyqdg2g7UvECJlMdN2USTvuFPBAdrM
AmRcb3tLnprOucgyoGSiMosDCeqHdhU6u1gCe7LZlid3mVIlp1ET3xFTgzC2GDPo2a4mod/WYFTQ
MIOxVx+WUju1avg2CbHJFGuXMatRlLqErhBlGzXEit7HbHsFLDd/aOUFMa9bxUwZA2hFVOwWA/z1
lkG3e6pXwVfMQ50HDiow8gl6pvFES8l1poyXXPGEr6uzdgwyK2aEtirKSuEmNzYqs5sYb4zx0J0J
0CR3SmQ/T/ZUpDtzVahZJxvfs7NsDSgr4qIx7K0+Gy85Sx+u0VXlJlRQfo2SVfqeuprkTa6rMLDd
yUyvtEnv5B4r6dhcGEvcox2Q6K/yWiFLNyGttyMsjMOUY1aAKT+42NW7JYQsjffkvXQMrEMwSkwr
YNKJJT7dGbXbLAdkO3L+asJ62s9FzkS+SENVHkfs+Ut3oUgTSzI4zzm5muFxmTt4GKZ7Cusm5cSR
j4CBWTHwg+DAlBk2E5YH1quajvx+Hge4zNb3Df7tbTxSJ3Hs1qEBkah1fgA3lGFCep4slEUxPUSM
Jqu3cR1AwI2ZHvC0MZXo54ZAl4A9YPtjpTO4yLj5QTcwzkBX4L81z1MOKDirQIpYjwjXrZOQMg7P
SbdxdTmfpyVlNBECd/4YoyTnmYrEUVnvrPOsxTQrdQ//mQmMyNgFHMrzZCZVjLK+Nv4Y2Rjr+Ab+
B+MQFeZb7uOJQOIdI9zdrLvXyY8BI6jbtY172aau71Qi36pKFIG+oXC0mslVKgXYnaaJNnbd9y+D
zK41NX+mBPumGsuLLGoIaafjtdQ7rDeLtZJrY8n6c/qww8W+rftF2UWDWQeNXWMHU7VvgtXQDvcW
i98yXLaTnSavKuq2N8dltGWIDDGq0W9IRj+Qtm6DOHNtzD9dfEhZ7t6UVFnvlFinL0K1RVCV01Us
m34nklz3+1LBvW06VcA7wEJg5D4FgtFcu6El/CoklWOlufCHPisuuXTDXRbLZANSh9kqgviFFmO4
iUL3VpOgmyeTKo+YD3Fow/xLUSUGxkjmsXEuxo1eV/0Okut4sYzztBNGru96a35LxvqpBtrjQxq9
ajUWlPWs1kewiOp9qlYBcHoZsFd9LMpMPWIDIuhoC+Nk8Yd+H0bx1rYm27PVjtedw2JecolvtVZ8
12jIUQ10lJqPAqLZMF6XqI8w0sACJB0OJKKS+SMYBMWbQr56aDd4z/Wm2GWyV6GJgEMRzDo3C9GM
RSofEe8EnO52weA4Ha+kqb+2fcE6nmzHqbFZCXnSsK5a9LFTnKu9l1XEz8fYTnxnjWuT20ZxTwn3
32eU09z0g6l/MHlLniJnKBuiwG3XbJZZmHe8Pq29zPWJrAv3g1ZF9rgZmBW+wGtImQ5oarMlQ43r
f0FD2zeEPb6I2LFbknuUNXErL922HzvsnyGr7RcKE7sTPd0wxceokBUbrWy+14hDPSH85V+aoWG7
WjX5C+H7OPHENAlgV4pxy5ujnjwpu/ob11A2Ho0ixqhSqv2TUSTj16GrZ4LaxYpAB2Xhcslq0a3U
Fu1GX6yC2V1ehjjnYafPS6m2/rws3yDbqzcCn8zR0mtl10yzcmmz4mIYHFXVfWobRroxpUaopIi0
kXlNSmETPGODaQYPKzwqTLsq+yptbeXJoBfaZj93I+0p7B8VqGCw3BKZRcpmkGiqdFeMzmbu9LUt
IolK/SM1nBUdnsj4PuTBy1aiB8jAe/1AFXTd4iDK1bsJVO77bPXZlpcdyAtyXMyixz5/ZKqgOQjL
c3efS5dB3mBXRlAtTVTv655oSdykc+87tdBe2rTKeYBFmXOYSbdunDBvrrpShcCwTFV6OxlN/a7y
rGt45sxdwucc5m4L8ku9HRAgTqyG1DyYncm67sp41IPRXPQGV2CrvqfOEGcH1yIU2lPlIBtWHmfp
vcRPxCshxY/FjCmKvo5CZcE0Wi4TrjFjwL0FYaMdG4VWET8aeCyDA4q9eHYgDYPeDRwlM9aGHgdI
ZKYvH1YrvywW+fbB7I/ZkO3hMPObLZGKUSDt6gBHffhmMiQKFMs92epyY0iWU6qo+fDjO8ZagrM1
C2HuK7hULHA2vMCuegtasWca1PDgm2XRtiNaM26VIeH5jo12ndnRiQT4h7kcRlDQOVtRtixlymZd
0KG8sRc3mTVlR+x7ghAYm2iTt7zfRgUjYnLgYsY6ObZko0t4aYTcCLWA+MZ8x7JebDRsF9zaDLkg
IHgjLRUD4Ip+WGBYxGAnFd0sR09YOdP+VKvcC4kxMnlqUlrQbrHlENZORIKybUMLoWWBzJFnWCN/
M4/6iCie927oFLuwWNFNnYmRwqoggRlNXn6lxLTya5FsipoGsJyeluc+yh3UMwdp/EZhNMAmgU6N
dO/qZQ40n/TS8zCMePXrvFW+4kLgx5iLfMFDhcOg3NZSyaeAUeH4de6HJwtaPxiN0byuXbCKGQlM
8WFSTy9Pk1n1z6YZV7t2KLs3gWex3sLrMQAFqk54LXnXvOhtCDtHLxqHiXB41YfGEnIzA1M8Vmaf
yo0pkB/9hahquEKfRH8Za1Tw0Bsw59l1VMWRG5RNjocyjbSvaGPMwMETjYmwvL4SFXMabTWqGSBQ
30e+5dfKyMxXwEvhnVu7Iojmyb6s5qk5FUXYLwHEufUnrD+Is49XKEcDRJ68PMQaQ9PcmpwtzSNU
OOTue29O/W6qeutILoy709CIH00VoB3kNkoUKkBcRzWKlWuApuael/l4dBdNbPVUu6jLnuVvys9T
waulKSs2Nwq4Mz61C40V2vjwUJiW+MiBDNyx1bWCuTKxl04jM1Jb2ierXnEJCgwWJXd5BdEXcEqS
PL9gWBZBiDLN7l6YfY5Vvyo03yTY4bc8uB8IilbMJ0cBnabJ+k1GE5RFIQTmOJO9CmlLsJoLjjNv
gIKwn9NSPS30YT04s9PuXROgAjUEy+wzfIDtN2HP56WQX6eTyH2XJ7+fVh1letzm49E02ngzu5qE
wmcaPsUquASqfLo3+DoPqN8Y4Pocav6gmM7FnObg+opk2i8M3R6WRGUeI4nO7TmX6t5qxRPuQMXr
J4wBrSRrpYs1wBvSnKdnrbttteWg8QmvcDc7GHKBPpHd19JbLCLVoY4GXAIsP+CyQWB38JxeOAWT
6AQBfF+hHm7oWlN3NQgCZLWcyzLX9BwMRwnWKDKzgzq4Tu9ZVVO+90m63DEETXdxYRlblUVH0KrQ
BrBx9UfLsBSGUEpHzrJg4hlWXP1WW1AtUbkfMRalwEkWJsekdl76dmZ5EmEbbVecez86NK2ZMuHJ
1OEVl45W7pzKqfxR572fky+A8JQOnAh3SL+xmRatl3V9u7PMjqfACH0M70G1z2t4UEPsjjvG/OD2
RKd4kcyOidu6p6xHAY/Dtj42VkRqgontCeQzpmYnzHzobgV1afV8AGJDiRiYxEfyTt1GLbPXxkkJ
BRVkMZVSTXYRC5YNpFZrM+VhbQQLOM89Juf+HdFj9sUQGkYwJbi92sZce+1DOyisik1PJ0sZCE3m
oIP7O+ao1fWchRMuY/RHmkvc8l0UxILNdpkAW2FIJI7Y7HEU2PvOBSlDwYTxpAlbHLJMGz60Xi92
be1Gm9hVdb4EfUWUSakPiRXRgGTGFyO6y6WqWcleH5SXxNTkY9uRVmIroHDek4dGt4EXSoxIRuts
el10Psp1hZjNY4e37D2kJF16tWkXESaHNrqB5mTtW0Nl2jeKyKcEgaFHNdprJhAsUUfs3C1oiOhk
Roi1CA9anPKmWOeKkZ5tS7Mz9rhwsucy7fl/Ni1UIxWQcWCNTPiY0daHsVxrofL+ij+ngcYo/Nwq
3cdSi3eMtI2dNllfptwoN2BjiztTKYu7Vl2eFBfTOx8s3NupGm8YLiBM8xBpmcoviXxWVMU5sCys
fFMfqkNWyy+WBuGjdafuAMXnY2z6UxYRqW6tSt9YPV7yfCQzsQCjDaLWeWeh/M1qKNCa5vRWNytJ
l5m5KxK1vq1zqsXUxJyDJqrgCJH3umbzYdy0szXeAMfLLolTEUAdTLFRcRcgWg2P7KfvuNOA89sh
QsL8nqpds7MdGQXZyNuYtr7eT4bkQtDQESwjKW9AJPpU2RezGI19rWYv7exuF9nijxnGiHRDiy3d
tJCV60gGqdnc2Hoy+44Wbq2k5neVor62MbX4LjPS06iKi7KaxqAzNAKuwlYuYCuDSHJpt1BllV3D
JgGTWPS35VTO15gAIH45LXUDbrGnSXIJFG16EXXxmjJLCHRHS56J8hobXmjO48jdtccy9kUy2oDs
YUMlxYgGKZ0ZkJpvbTHo3GQj/3NFKruqo/4EGtd9qTcY81AQgxiDx027EiHXZrElmW6WStsq5prx
0soQy096ilOjw0yQv1YKpZNZNF/HhoPVGDaHL/X5A6MKcYM0t1bGDLHsOW8Peim+JBbMNCceMHER
JSRJ7FyqGAw3vUa9oUAOvdJoAqXHA+PMSGC2KTHv1Ul0s9TlC0Oqh2w2jF1ROUehdshtSUIg26kR
tQp3JdgeKobjpVSSINH5vek4ofJpGrcZAQWHpZ5H6RwWVzV+tk1oC3rc3hUDqQqYy9S98Ijx+7q1
vQpHDXN+nH16guxIc5eH5k+Ytu931by+/eLqKS+maNMV4cVgzVtDGIx8qnpHU+O1W4LKcab2hQg5
1aBz/YWEC2U6cXtrTyYTfC2cniasY/uIjiVe54O5DaHGvhgqLXF6dZXWrrm36FoM7MTBvxrf9VXx
Fi+c8lk9mQ2TzpT5ig/QmXi6nSQU5EzZS6SxvWjq8oYaq61NbCkQBZUnOOu26EKlnyVjibOvfEAV
v2YJB3QutFE8RgZoNNAeKKz8RrSPEc6A87efzWbbABnyK6pcfCOTl7UGlmqI5bFoxFHNieQ1XdIR
gmTRMJJG34TxYG37OKmvKd5kt5dYkI1yDB8+hVa4K3TsAjbksW0fNY9hZPIecy+msmk3vZz6IIxI
cHbs2uolfFDVAgRGdqWyasCwqTRskZeFH1j/wlP6NQujHphQ91CHPHdKnrug3Pk5QgWgfkeQE0Jv
oQV1VB5qtQ3mMXyWuN6TFmZtE5fTxh7loxkXhp82rLFVbb6tMe0d5rA82n2p71jtJtddMmz0dDkg
2J1gC19EU3kvS2MbSeM0IDD7peD1XqA+Z8vGyHvirpCQ63QbuelFBumKTl0LJAP9ktR/tnRDDUGW
INurSkr8gPl1lTmerJYPrQ79tukO5kzDAZPijYmIW5TWDVRSsaMaFznBEtejSRIO56dWsG/T19KV
QTR+2ITfcegAx8rEAZajwhoJS1fNDiXxLHAHXEAzXIgoPi2l831kg+8v+F4Pmd75ddFQpyxZBBHO
gBbLFVsedOKYAF2Z2WKCTpsD5lwIdg49XHr+fSmbYzfBw3OzK6Z6rxBQrcvIDeUWxZXHxMqB1FhV
JS2AZRE5u8ExrtCu2o1GmrUr5n2ff5uZBYt82tcDJstZfc07DJ/WdFomY8vfiUNTDfcG0+KgbLPH
wnEv1L73SYpdjmH/IovSHyr50JjVnpke2HqhcIMm5O4iYoGVsC/xvsqrKJP3jjMMXhTiX8cmrhkl
2q6ECUgQo9H3RUvtmaLPT4Au3+3atQOpS4bIUNjve9yRCL11Wx6S805uxpeoByatEWLLthZUZAoJ
8ysZ2jYFR6pnpG8cF1e5ZlLDlBTOCtGvG1S/UbX1FwGvGh1jjqb3kf+aIlXqiaI7fAawt8A6i52z
lhdsa7tNbfZ5GtWW7oDqJUQOLp3dsLyhCJuaPmJ4vTyZPKrlc9wBGY+VeO/SJQoRUqZPPDKF/jA4
TpwH9kRHlUfqUt4TQ2d037a59lxLNhKCzHWcj9kuTsBod5K5dg+tHZa7ljzmHWbGwB3JFMNkY3Aw
tMI81glFiJTbwX+Cz91XtvkGXikiHrQIeT9pbKoihOTJr/Khyzh1hflhDpFC2tPmrrynmqibLhVm
CIdxtBs8eTEsq4Wc4yE/ex3//kT0/zuSgAn3Om7+v6ehd3H5j6/f/nF8Aw3WlD9CCf71p/+eiqr/
dG2VxL9rY8g5E5T+bRgy6cwRLugBA23esCg5+M9UVFf/uRqsUWQFuAJQAYxmIXZ28r//C57hPw0M
PkxTDZ3mnPXv/oZhiPHqj3YhkE+OgyHJ1TAuGURsPw3Zab8cEgfJw3fT1trUEvigCO3l7/kGmMrr
Njqkjkin4Zz6PMq3Oyp0ZEZXH5kYgkCs4ekiYOwjI1KqP5yHv7AofP5CHMrRLV7rjuYIB6/CzzPe
TOj2BHRz8eGYylPpFsU2W/kdvz7K+v/yI8hhPYqpayZnCJ8K//j5KKbGvtdpQRR1kZyvG+Z/VGRk
LIhnPb9Oqjx/FLgabn590E/ui/VXBENB+5ipWtC6bEhdP46vy7kB1lyZE7IefqdBg006mF1+q3VK
dvj1ofRPNrLzsVyh6bbKwXRMrT8fi8qNZnEdOItOQQ0M5qesZTe5rjDBRAlxETqD811Lq/ZLIXLa
eITVjpczlYvrSi6lFnJtq7hBZQ6fLLK/xATcFGl4aZDrArru9NsZ5mKx6Znv8JJqYmSDShXT3a+/
x5mo8fOJMlbkB9XkGoYS/vXz9zBLJaE01MHUNLIs9gaSXfYXBqkGs1qMl3eaGAjYytaq7zCNl+aF
lhtJvLMtvGhY7u3hrUlZSkStG4kAYnZ2uXQhiPukInf+m4tq/U0/f1Y+IoZfdErhWJ/Or9JTqaxq
1eQD9EuPaHJYPscifyH8hPtzJKh1nCuMzEXMzOzXv9OfLy2DE62aq3HDYGWt//wzKXWt0A864pHq
qGVYBmRtrVevAV72/t8+kq7qq0MSVp3KfObnI0WtlXfATxbAIInNSl01KMyeMfB5uH2+/fpYf34W
sH7innHs1X+Cj+TTsRyo2SXZWXYOM6ZHRgOqVkfHXx/ks0+JW8WgvszAoIR7U1ft9VP84CrBPsac
YAGSxjo5BL5IBUxCR63HHi4/YsgrN9A8s43OzvoSPkP2zcpn7TdPPe3PDyQ+xGr75OnHewMX6U8f
Yl7YOJfQ2v1OVDDb8kUNTxjAyKstTrrNwdsGeRjZbAtHg8mWUhzNVF2TJ+ZkvBpSMOVlzbSvRZGf
JIn1mmruxrqg91xUv7nM/+KsrM9MbECUcWsAcX7+qLkl0T0yRIGSVx77aeCwOZGM/a9Py18dxVGx
+azkHxyc6xX/41kZyflSjEt5vUw6tp8Eba0ST8Gvj8I7+tMta/L+FpbmoOeahvbpu6QzRUOda4x+
PK6TX8LPQUxTOvOFrA7yfgq3vz6ecb4Tf35ImCYPZXBEUI5YWXy6f9TJdei/QPogVRnlvuFiXPFM
u26fDLqZ402itboNsiZbFXpcBg8SwgDapEVHM1tcVzwbko3hhmW9fLfbRLrYLGr1ZVEKNfRmApEj
c42kf+JJoNx1k9s863iV+IO67fep25vfmCNktpenQH+3Yb4QcHdnzSVtbNo4VniBEXsLXTW7SfuJ
YtK6aKsXpZwFuglzywdej5PEVFCqz/WQjUjpYojvFTUTd5AT8M84susPeTiSVOjLcL5zMldUAYEq
+2FCt+/8OJNwg2SWKDrjlM6EyUYE0GuHoat2Qz6OAE5E6JJg1orhRS9UzJbJTKBQpTmW9XnqoPzW
tc6lDTJDd33DEhW85baFQZczJTMTrAsBYHZA/ONYLJcGlDM28Qb/sxosxszoKR9Bp4RTdOqtJIOb
IJe2f3ZnRtYbgD7Ji83kCGGitqYnN4ssnR5BprnZ7GjfzYqcTuDiJGpJIbrLE7OuMfeHJbOiYKYY
oTlGhanea0qsVRv6iNjIVqwnkFd6MqdE6ygPoNArF7cpXI+FXzDqvzZsnAZvwjrtBD1dAFc4taFs
urLqXmocqJ2XCqLujKdx024bg0aqiyiie4BHcaeCo9Mqu+x908yz+LEMayy4kuFr4veUItT8Mf4i
hZSxSomOBXAYGrpRYnMqtCP8Ngp15sqZCFllo83ev5kvXXNUkWE6h4FQXFszGbSkhCw0NMb8IR0H
mwTsJhDHqyMmCdp0pNFvmKSGyxWa7S23t9NcaTNgdVzkRATBGdsYod9w99jFDfXfWCLowu4by7cy
s6Z+r6gnG+AIFdUXdlNPF2E/KKNfjSsi1x6WhcFHvvqGYktph2COGSkykMfi7jP6ZRPWLmHyaKlL
K+Edlw5s3r4rW24LWkM8N7HkO68vDW1cZWDPBQcCahuu6OENO2ibELDNvTbUpFAavGbvXWoR4Wxq
yS05wjt56lvmSRd9M8v3drKYobSY6aGfaPcYkisWxLgXv7JSBhsVNgyGNzrlOTDhF6wciK1LyeMs
WsjqaWJywHr2KrR2hmT+RGXtlYrOSbC5xWWzVQCV859DHEW0kiy2G0QwX3D2IZItXjFb7k1Fx0G3
WRZJQxS9giCd6Srzw5UB1JI2/CKWav6qs4fkymnm+S2vzUTz8GArij8U8A4htYjyKYOi98yWHkC2
YbM93lDkmE1+pNO8FUyT1RwhT8fqFc2+xrGk8WpeH/oojHJOa6omI5nemok7p1uWZcltW+rAW3wC
8vXFesYgmwJ7UK5mK0tjjJrUmvuKaxCdisYZOdVi4GxxMcJIqugxE+RgMRLCmlDBaslMnQBd0Kn4
pqBzPuaqIenqwODc0VW1QpcEhnjXz2kLuJ64JwbAA+CDyoqGoKuI9V7mu7FT4TSyTQXDwVLj9+qz
7mPCRjGerVvAl7n1bxpSxCUZtdC5rqn6W8FPTq7uAW44o0+lqDvd1HETPyF0yG47OdYij9Axqz2I
eGxm+TRqfUDpwXSdEKLDgNp1Bi4fqmsmn4YJ5140lAucuqhByOh0EuhneFQYcJbMduMuvX0ya0ac
vlaow0PeO+3sj2JkeesA/Mq2Zua0GwK1BcEypclviPphDHXzKmlIu4/hE4/odvLbqcou+66t3nSj
a0uf6Ed/P5tzBe2LOd2T1tf8Sj1mGfoTNCt/l3zvD5WAbQhcoaXGm4BMHVTswbZU01tEC2lHeDXn
KQeAJdMRT2s6IDDOELBG3wWom13iVLMQluNubrYtQAHHS/BKXvUORouNViUOvtJE+4i1Pqy2RJ5z
15shpwPTxJTMbKdePXZRqoibSC8VxD2Em4d6wGWPK2GwksBk4Sk8y7QwB9ma7n4jPdeALC2osUHp
1F7mcAJk6VJv4f5mxfvnlYjQWSWssGZe59rqcP5xJaLPKkgwvVvHaHF0TEplOYRTN/3mKH/ePAgd
GNi6ECF6yl7+56OUPCQZEwhYChQ04r9oCcnrOnkaUCobkVtj5FVTC8xTaZc/Dv23PPL/7xUhC9PW
D2u14K17+8e3ouOKvHrLv/33f918a4q3/B0X7E9q0B9/9i81SHf/icHd1KhJJkmhwtX53/iYqf3T
wLC+ahaO5iKX/EcNQkLShEFITEAtgqBtcAH9WwzCIY+gcd7i/AGp/Fti0KdNBBtklSiiyvbB5jjE
bX6+hmKaHeHHU98Y2VN0FWGX9vsxH06KpIVFtbEjAACRv9l6fro9/jioe/b+6ybbl08LWtT9DnsM
aaSG+uFbNtvZZsGmH/xwMv5CFvq0wf3XUViiWGxvXZbqP381w6UtVc34alKMBLioX2busmDowulV
lL852F98JawRFnEHW0X1+7zDsewwdBYmRh6NRqMPbjLclbaV/2Yv8Bdf6aejfLrjm7LUFc4hQxqo
bkx5K3F3hnpKYCW/2eP+1RdysYAR4NIs9tOfDtX3mrSbMCMN6LjWbiQt7GFQdX73hX7+RqtISD7j
vI9iG23j8Pz5JC1RMxeW1G5P29fraOMddt5he709eNvt5faOfxy8Hf/J22w2kecf98fvewwW3vdg
v99/H73b+9Ovr5lP4tGfP896v/ywhzTVgXYQPk/wJXjY7ryNv9n/5ko5azr/2c79+RCf9u1pyapW
iznE5f7S+7INtoPnHbyX3da787aexzGDvR8EJz84bW99b3MKfvMJ9J/P7Z8/wSeFDPIDPSuJdnu5
vX49bB+2/L7+m78/+ve/OZJmrOfvF19WfHq+tDp0P8CWt5ec4RPfbj2v6z/59+vX7eU+uL70Dpev
l9vXy+vaC7aXl6+vfCLvYnfw7g53u8Nut9vsdhfe1WbvH/3Tnivh5eLC3/ued+H5V3s+dbDnB9sH
/u3J93xvvzne+qdT4HO5/EZgsNQ/Py4NXrg80GHHWOCD18v5h8tjydbCe1PrPL228yjQpZOO5AcW
koICM60Sl+jqMjIjZetipb3s9EHv2HeGMM/bLpufCL2lKJOpksjDbPTW21wDWNvQRYJndRp7G+oJ
HTMdZgVps74RSj3tJmKn8OEBEXS4itUkp4bAhGnmFHOIaUzY8MSpJi/rIHN5HgB4YhvuwyjDMEn8
v18Ly1KLgePYF5scw9V+JqM4bhp7neb3YW1qOzfT26fRtYQ86jruUxwKPClp9Ry/llAbGp/CLzlD
IctX3+REvsMbFTBGsERNWADUJRY0nfTTk9EaeXnJlBkzwiJxnLKlHHnWG5akYa6FMWDigdThKAib
Hh3PtkF8BhARanoZGkvtGCwvNBzHJHwe8RhBh8xJcRXrcpz67MUO4X84SpM1G12p3S/47OuXsnG6
AQbwGqwMYyONfeqjAMjjXTEvqQUfddiFVAl5nTTYX6epkCDKstT9uqg90VoW/2xACrZYuTdPfQt+
Vs1zOGHhkqeXNDR0aB3KzFzeWSOq2VBqkGdK1f5u25X2PU+AdnhMCmf3UhOuMDdkq2OwCWv4tSPa
ZOzpnCG9irOCfGy/RmWhH5GaNdPcfCvWKG3r6NmLs8ZrwQvCCXYaMfRB/UcCdw3jzudcLoVCUfs4
nPO6VAKS3e3OOV5wuPX34pzuTTp35EWkm/RiVGsAuDlngbtzLrhYI8LJOS0sz8nhRq8lJEvixFpR
5mOwlCktELg1+Flirl9l056TyMYaSu7P+WQUJKLKQkXLi+o1wWxUJhg/BZoXqlQfrRx1lyaENfPs
4k6NA2ry2Gc2pSAWncGnprbqHJfmVLn3OVWNzXYWxGs3TR3HxAG44L/h4RWXeRJBhpvpSZrxAdc4
cDNs7em+len0gvjJoJ3FV34xK9VMmBsj73fSLRHVsnVJh4JpRa5+SNsRPku4JsJnaCofmTaCk+uX
eOw8sabHFcyC6cN0DpWz3lEep5n9GVTOgTDGIpRb+gEKrHYG3ufUKvJiKxTB3MO1Olb1NXfR7Nkq
nuAyXv2qRjvr3ItqwlZSIRl8CZ4Na1NGFyDp5FAn3zsDVLQ8aZo4lptG8GtpXdLeIp6L3jOmvrhV
MfQPbFyKgYxQ67TNRW90Vr5JlLxUg3DSDLltOlQqDwnMVT2ldNjKLdAr7kORu8+JGusfWqiJBcej
Vd8zcF4RVwgChH/qsSCupk/6vgvDwt6QCOsbKGpKhkkoLVQPjSet92KK9deaguA0mGskPOKSS3HR
UJLFfT/06h2QThYGbgvRzTPt3HrsRlm7LLAyNozj5BSPLZQZeLO1Ocf7OiH76MWioLqg7GOifiPP
lMWDX5DhiS+bEdi4pDWxncy488lbgLWDjxW7tKo10QupInyYoUZKSqXPkiF5NJMOAIMcpb6C2vju
1tU0sWltsNSWMg4f+hLccZvnnImlWmCqhlqFz7oVI8mSyEgbBlSJw1SPOypqtzao4qPkxH/X6e49
0fWKucRUl+kB+JH9dWp7hlta6HYHyKMuckwdRw/uYEBGKNX6iYYaa0VqzspX4ETDm5KaGQk5oRr3
Zp0hEiOhxB9kL9jG4llQHlUeCm8yLaTcWE2qX2Zpow1omCGlBOGAPZSYeFw+OpOQVlALk0g8rWzk
1OKkfwl5TunU24/5k2yM8aHLe4xh09JVd9IpjFus5xBRbDPD+UmgT14NQw+4ceQNYsF/agTUswzH
ygTkrd1SRwZsih/ArbYVbk3pD7UbPhKdBA+vJan4hpcmvycQSZdfhiecXbUaEjqDMDTuG+rf+z3P
WF5aMYjMK8pB9W8wltse93qIue9s4xp77vIDVF3rUaEX2cIxpdpoBkQGj1QZgY4Y2FQ/FxG/Eb97
3V9FSWnXhxD/zoMoCgKt+I9MEAm5jU0Jukpi80NB493olWJadEZWpzk16i+txBDIO2PCnVFWLSwA
K0kbIF9ZO+BSE3V4WnfV9VEZ6KXnjaZOcCES3FiWAWYtIEO4CLiTlmZiDR2m1M9VGyOsIqzI2dpM
sp4cTV/tvlNmhFdpnxenimcmFqW6h2yrg9UjGGKZX6BHULyZVBbxH0u307eRAAtXidTkc6vy0SAL
0IuyDCWRsGGp269KvGS0EjZTOAZDUvQ8aHBrj1h18o5QgrnCC7Dx8P2Qerh/6k7hxNcY9T548Fj6
QU1VwHH9/7B3JslxY+mW3kpZzRGGvhnUBI139Ibuzn4CI0UJfd9jN7WH2sHbWH1QRmRKVD7R4tWw
nllmhBR0J9yBi4t7//+c75QFMEKIGiSSxpbw9g8PnAiCWMLy0aQXVSMJHuMvww0+aqoi64dWTUt7
/i65UXPctQSB48zArgIIzTei7iKEFs/oQRAI8iHKVrfWAObRxAPjADMSBkkdrEgeg02Pqp5pQcDY
k7tzI4d3lKdaqM+gK78JFsL8Pb8qvItNHAyO0Qrkl8YEIZxqFXMq+7WasMd8kot2DXI7TAlH0OqR
fEKr4JrPWSBwWnp2KGyWRQA+Qz3jsemzHNhP1ujyptHkprkEyOxOUjthjorTIN2PlkSpVRak/jqN
cUsAZlFK9ySd69JqGGL4/oDCrSKmaSbkCl+ylvPki1HSr3KJXQ3vpyDK7ot+JmOaqv45UmC9MmB7
+LwT8EjQJzwfkln5CmmOS96KlXw2BfanGAgUYamS+tE1b3ryLHsr0jFekYLzWoJwSN1JCv2XuGz6
eYXPOt4Z09SjbS5ywkkytaPMngGhtxxoSFRAKW366ELjsk0AgIh0THKisHNQQRl6OTMx6idU4Dwz
5xiFv2Nw82FIlkwN102Kjh5cIHw+Vh/KM6j66qh3mn8ap4JR1yywuwH+3aFvpuErSvXhDrxujjNQ
6NHhTUnuo9pn1O9js6bW14nJe5eISuAKOqBqUa+Ry+vICrlDRKwWPNO7qP+kAvbzRgY4BWfNkine
wQtAawIt4KfleAZwr8lC48mKEro7CoshLJLJJwf5eYv650FoJ7LgZ7eqL5SfH9f88H9VCrg8fXgE
Wp5SKdpOwYEbONByeFj/v21APxYS2qZGTcgGdOWen95OgX2yveejI9qf7cysZZP3u53Zhw1+wmq1
p0V6vnEPruseTuy6D2y8v+957VVln9gWvrHxttmTHZaf8EL25KuLzX/a8sNlq8qWlR27fbT5EX9a
9svb7frIvzdXtmvuzjkf2JqxpT+slg2m6zpHZ7XaeryQv+92jrNsc1cHtqGn1bJnC+0Nm0Lew5Zw
5bLpu+GFbPCeDqdln3dyec/vT/mne9QPhSLyQ0EmcSY4JN+RT2evD+72+6mw+Qp8Kv7nfHIBlIWO
8dsLsAzuH/eSBrjwYbnST5zOw3XjLCeBP7gn17nZbg/sa1/YG2/5v0uVYLv2vMrmj6sNp/TgblYv
9sp9Wq1Xqxd3ezpxOSibnC6BbT9SRFlxFrlO3o4995N9cXb299G0XW9P28vXbWB/vSy/9O3u9BLZ
d7P9Fthbhtv2cjld+OvXrxRjVjb77OOVugD/Pm+u3nXzjQu72Vztu8t2O9p2YK/ZmD/uj8fH427j
3W93m/fr2fHWztlxD47nXV37db9cQcbZlQ257e12e+oMuw2n26W08b3WwTf/Rs3j4LKB32wcvt6W
EXPjbLwjI+H7Cx+u/OelBHB1b85PT657dd4/GQdLLeJ3d8SHzX1DeEBoLBeEKsUTJ4KB4OwdBqqz
ueGzOs5nxaYlaOi3R/w4tbSmEgMLOK9OW4a/822zjWwu6DLQueNOfEnuK/7K7cI/7B1Xfvmre1rd
uXfby8F9Krjoa/vp5m25f/jAp7W9vrvtlyISt+mFQeNcPe4yr7S942ts7xhnO9eVbfdMseXFsu+9
43Jfu/bG9ag22btlNvjkDvuuifjdmf1QVQNxUsUz3/Pgvtxtl1v/+vtLp4rLzfK7I3x4ElBalASJ
I9wwcE5MOEup6WY5d3zLZQJiaDGQGF/cOQy0G04Vw5tpi79yPvjZhjF5cL0df+TVqy2nf8NPKVHx
Z+4Eh3vKpSTIr+TXLy9ZFbx/e8fFY7Lg3vs+IS5H3K6cF17CR7AdrsLycv7i2cvttOG4vJbfeLs+
8eu5BfhV3MrbrbfMtofDk0tJbHtnc6J4D/WuZQQyc/LheD+/b/llzp4/MEUc+ETcihROua4P3m55
qbfbcv2P32ctvvVmXfDlubT2ytswnpd5fpnD+Wxr3nlxXvmt3HTO7rjc2stp4kQt72ZgZMw4XC6H
//z9kv13B+nPFtH2/X/9TwJWYXYxzfznquLb1/o1/4///WMD6Z/v+ktQbP6Bes60ROzQ1BbZXP+z
haSpf1Azp+FksdmUEYPxEP+LQCjLf1C9p4VEaZ4mpKggVPqrhyTrf9DgJOMVNTIaNtUw/o6gWPuo
UEKdBMdwCVvTZXSMJL7+/ChjiR5KYiV0LkUIjO0aYpUJWVKenQW5lgs7FXRhq7IXw5RS5Oxtx7Yb
l6QNM3lVR6NaXIBjAG4dzAQ/NAY8weQZ1r7Xq7j3bBOjM7bPRAi2ui9D46GFRDGP3Hb8SzmS0y8m
BUDfEbO0fiZkuZAc+Mld5Qxah15kUjLxpAmBdBMMTZc4o6/6nU1lAi1EsGyH7aRqZkqOltGclUjG
Xu+zECttCP4ihLgR+JIND1d9tPQsyVwxksD8ZPrTLLaiaBMC5m9i+BHvLR63c8126hWrogokMCDi
1oEYxzmIg7ScnSTSx7M6tDPmtEIEoxYh0KGEoxl8tZqSMbqLGhgUKwM4TnWWFpI9Qt9hK6v0DQ1l
YY5eJ/bLZOn6pIM6KLuacN0NMabzMJutV8yWxHDJWYj/LU1Hwqc6ra9f/IQIakcshGkTGBM1OzNA
iOXyWdHz5lk72AhVjC1V7OTqK0NzJxZ6VLtpRoinWqjFviwoIFKPjNTZJjTaeCvC1nyCyeRPG9zQ
3UmDdzMtNWVL8qbYgEeFjuoQDJFBQoOEZ7zL5PTUpHUswiXMhxdDLecHFYwthmqxi2+JaChesFhV
l6ifqD7OoFxUB84Uu14EHQnVbysphjtBN8N3jqiJWwGd7H0KiCJa9f7cmwjbUmnCAQ+L1qtEJXoz
5rH6WlBDknI7QNojexTxM8MdlXiRblqVEjoy2wf4W2xA73SE0WS71pY2uNkgxw+SnKnNNootklJ9
I3g2JjW+qcbJJ4khBOku+0ZToTc32oue5/MroOTxOSygNuJ2E/tjVE7ZMVaX4g8WRp8wVQPBkd3O
ekEILljfwAY4MGQUpkzjLSQhBWBlG/u+y34jFRh8SK9FMUsCUOPzfPITrTtWki4/ZWahv2BGQUWh
D129F3MluTFVi5iqKNVaYLk5yd3lQJGzykrJcOTRys+STl/U7oRM5r4gpvOKajeixpXAbY/ngXQY
US0AC8+BdUEyVW9MSMJnqS6tdQhp+tX3zZSSjiXm1AnQdFBLG8LCXKNR6S/oEBpcXKbYvDTiUOte
saQtgAocao5pzIpqJzkC8ZVaSPVhUILhi1mZoKj7mLPa1nql4nQfh2k1BxpBFzW1q9xLi3kGR6YW
ibnutAy75hj3EDnmINIulKC6l9msZA194aCwv/UbavNjkKgq0R1kx3sD9tT33DSbfKUG9XwoOy7i
RtSDJF5pYg84EahA0q/DSguhXxB9ux+NIj9jArIS2N6+/96FM9nLdEfUV6wbDEesv6mE5i3O6BqU
UkZMcWcSs1oOlPZQDgNgwHbJUKpjUCAYuodYcxPBEon3yyt4dJavh0gkreZFNWFrDxRJ3rq21nS7
Y78L+mLqMGcRR5FrHqBJvT3jfDSuGdToDE6AXN/EJCtDyCYjdQlJ7AAVAaPLyDeZZkxwiaJB3S/6
aPHfCrUHYhmqiCGgYatDUa42ujFI91Gs4V0X53Zq7TAe9Af8wOJtpQIk8RCO1geyeQhSq2nRP6K7
preUdmbzrQ7SrLOztB/oMCgkyhYxhCCPWMg2c/tSCL+YTViLK1UWMkSC1ZjAfKkEYobwkBL9ZCST
4VImHb+h1WLeJ0ioIt2COe/iV2YweVpUFO9j51tXUkMUE3Ft3V78LKN026HejB2mOsaEKCsg1oJ5
ULd8V2oeQhMx4ZXzGM+gdkA5QY3rlMcRdSsSba0Sl5ZWSCKkIY3xUzlA+bbVLs93gxrB2oZaO3xF
mqfeF7GOIDpJJBSCYjdUV5OUnxQShbbEc+QCo7oYRTrxohXArUrCFOZcgxZx3gS1SlUN+iFBHA2C
98ANOp/Xk56CkS1Qw/EtUAR8bHpRXVVgArpb0JtQnV4za5D+BnO0nWk9XUaha8vHpg2p0jR+CwOv
SVBreIXAnc103Ku7XAImtA4mhbGdxhkwjLGv3QAT0jOJmCAPoo5QQFulvFStQbzlXB8W4+9RWukv
SumblIa7brLsQLZUYVXQrkl2cU6QlKUJonozz8VMADblM8WVrIgIP8CNfDGSNkM4A2MNfwYWNgSS
BsP8fG544N4HYkyBM8lLok8SURsAyLcUzSGeyLWbjwUpxkXJrQ3qIicApWgNohBQMMKmmRG6bgJU
pdVWHOgaXCx4r8k6VJVIWLLxUBvnTATjNUDycPGZnAYbn4M2nOTOgpUK5jF78XsJwswEIV+l6VIF
8Uokk0QlDajVN/QrFw3rZI21q7X+jKNGanxj1+QS2mIVTV1NbLESY/ZUGpp6w0SkyCQiB4VyJFNn
gkOYmF48GILuRWrRU0tvSF5y5bZOKy8gcaTxamuo8y3tORkuuS7NRFCSSKpxueK+tacWN6G3ELvA
VCgtryfrLvtSRnMpOIapFKGnkJxEd7BTpsV4OXY7E/BAt47oud0BzKjhpSf5mNLmisW7MR+kryq4
IdIsJHFYF3mA2M4nVYJG04A3kSOK6dtAQfnOrwb/HVqdFdiguAbVIVEQtaJiTRWROZXyTCAiAcuZ
aKnPlHX73K5b8pZgDpOTlZAJk23GYPQvbVKUyGljucH0ryWwnKW5kpwmTSqGuizTcEnG3FRd30+Z
AE3ZMJAfCu33WGV/Vwh0mNyWryxTMM+T0KFpJt7DEJreiDpM8VmnRq47Kc6yxZk7Frd5rAKYKQYa
cDQ3aQCuCiXTrzzJWMy1jWzchj5+JQfSNCsq09SJICoNsbgbSZrRWe/oEsGuTRoTs560FmZLRaxG
rP9duM4p4LaenjXkP9OpNE5p6PdPFMCDq+pT0N1Xwmi8+0rSJXYjE2RiAysQBJvlYNt6KDh53Kvz
QKBqKPbmfUyJlOlAmBk6ajgVzz2hbZTL45zH/TTz9F4HnVhJnpGQWbU2QI2M5G+P4aPpC0wYCAZ1
Jpio5NJxHoKBJu+EnJBebaEghSXwknUiYcFOCbeD+O8huSLsbzHWdymJq1ou0UuLRTSuNkl3BYuB
fpxnHtUy031KAiOoPR4U+gqraXYvVVauMNJzCIhji1Xlk/3/z5tzne0BRpXFMCGLqB7YzPy8PfD7
MM/oWkSuODSaK5lps5aKPl79sHG6/cdm/0dS8Ycqw1+HWRyXGEBkVu8/HwblHjOsoixOrRLyCPAF
BKmCB/1EcCq9EY+V2mWrEGG8548ATCp6wWcfM8Ht7z/Iz4W9Xz/Hcjp+KOyBGxwQ68qRG9V1BrfZ
qNeGstyWJJe6TJJeoQN+0BbtsAYWwfv90f/dycZ5iXRQMlAKflTc6LNiTFrGc7+zrMhrFZry8tgU
n5zsj0Xx5ZL+eJQPLpgaiFMUk67pmsEC0qn0iWTprl8VEemiv/9C8s91ue/nczGsYqfF//qrRrHw
DT+MJiDq2SgyuLuRW54Zk37pLiqU6qULtVnaFkUuvvhyP7pDS6CskQLLgiUmqYcy9lXQQ35CHlwf
JxtploWvXSYpLyVwp8gWWItpAAUM6zbomIv+7uhnSS0yybMYwcDLdvvn4RCjKAuG2IpdWcYFrplR
4QlRJG1/f5Z+uezLUUxT0zVsxAZmq5+P0hTKEJYmzI5Slbm9QCwSzdFon7QnfrnsHAXJJqI9DROc
9IvxDdDcpFRm7Ao9xo0wxOwRDVK8GaHvf1IdXT7wvyp6XHUOhc+OW1lEVYlY9OcvxOoZ+WtE/mhF
LvGXmQbrnUaa7KqKtdFtTOhjASCA/8L3I6MZqy3h8Bz/w62L1kPTg2ohn0RhtZJ9lRBWOTdsksSH
T4bFvzuVOt5PFQOfhjr4Q+1XS0OgTySCuMOstKcyLDKnAFYA4lHpP7lZfx0bRFAwCy/EbWo+6oex
Ic5VNJUdIo5ymIu11aTfakXPP5l3fr1ejAcJR6nOAnwZIz9fr0aRklaFWsIANKb7jj2bizgEOK+Q
NwSI4TBALFJ/hoz/d1/tx6N++Gq+PmEvCv3IVSQSpfoyateA6uVPhH/LLfrzWMRajjGIOpqxlOA+
jEVtnCK0RzxZBLOLbrOEaA2AjACe1FK+kcKYCCDcFMoGcZb/+nfv68XVjm1Sw+2FJOLD7DHOTSkI
42I/1vXR1Ts52SctW+D/wlEsxjvU9eXW+/gF4451lo9Qy5D7fqUwL66kZTP5+6P8+oSWeDAxEwJi
N7HsWx+e0IUhZkQlhbHrF6xk3WoowOjpbMJach1klWjDIlL2JH6Dpm1qMWeCrrAowpBJZLSQZVl9
8omWQfnxwvK14dEbPCxxQf88aHs8dxUwLD7QXKnrgLXrOYdRvtDDdXRNXW99MpL+zV1CsxrlqKIh
Z7Gs5Vn3w9ogbFVV6A3UnKbRynbbSnIParMwN9AN2J/HpbnvDdgin9ycv042qGcoHxscFcnK9/bJ
D4dtBfAJUtXDA6PKtNLyGENK1OVIY1i06Z8Mpu8LrQ9nVWYGgLLNlCAyk/78Ja1cnAwrwOhVGHht
2EVY5DA3wrVCcOuSdIY5UI6knu1sIY8HSZytIyO/EFyFPeyayChEGSNZ3d9H39/qOPz/kOsAjmRZ
Yf/nPYeFZLKm7QDN5L34H9cu/bH78Oe7/+o9WH/gUFEtA8YjMx/j51+9B+MPSoPWYj1nxU33gXvr
n70H4w8cXryP57Zu4YViPvmr96Aof2ArIPhINFixqBhZ/lbvwfrlCUAzkIwJg5oXy4RfsBX8MOlg
c1QsdfVbglFKmN485ggnmJVUTm/7dAaN7uiUcalFsc+m/msj78SGiU0NUVfitFI01VfZgmth670C
UXouyAR9RV8n1Lez34hJg7Xb0vTQmzNlCl9Bt7FB3pJfC7nNpNaJvEbrtSE6iAbBXag5Z3bMCMrS
ukdsZwg9pNY8iwUfsyKCW9SRvaHl/stAzRiyeTe2NfVyGqWUapQG7kQudtT5AFbwT3RvxkFDcnpU
h2KuXSMPCCr1U3lYAfb0e7epmaqInm/rvUnGG1xehUjGNFOGb3PWWIKjtGb0mBQFgTWzKUGRFfzC
Mh3uXXFXi0pLtbkxgtPEEpNmCKTNL6IwsgLKYnIj7SmNrCt2Sf3BL+r6gTJKcZ2yoAB9ZqQiFlzc
tMRP6vEVEVV1MowKIR6KLzhKYi+RQFcnPg+VOn9Bglfc+xPYZifTovpNmYFT2EVeh9/atq3hkc5p
r9tEAKUUJCOxhiya+xQNknEEaoUf5TVS6IzYgiH675WS1+dZVEiwg6kodF47BhlBqmNU3ppBLSdO
NQ7URVP6PfvEBC1rp1ExPbCChKKdWiVENkEn5M4mVCsJb4SoJPQziWXlqPpW/1D3hjmS/NTIMmGe
unSN26I1V9ooyo+llMB2HIvQGUma68mD6vW9SLYFbZhx7G4mfWpVeNaqhvCqbusrBCmQkIUqxKeI
3tBebL7XsvzOoxJQP2J5jgDkKmj+Qz191CBOHiJ4WTrxHD3rizCFG2oLbRdAKoZhlgE1T9N9AviY
SqycZL3dYkmgiRUqwMrrzLwUhY/4se5C8RZdGE82i9K/Vw1j22/QCorviVlL96DKacvF0YyjqDEY
e9SCzHpJh8y0wxSkOpBuGlwY+asB42/YPBOJido9GDXpKWbpE2MMKkYKFbT0DEq5WrnteiVV0MdP
6lUfjOlkqNm0b6yYxpogJdk1ai05oAmYRQY53wZwWjGTtGqhppLoHOnJ/JVan0KmaSIKLx3a/scg
AZZlG7Tv7ijl69cC/SBl3AR1tVomKALFQcASIVJqoOhnNlTnsec2K6lGsU/nJyckFMpaetH7vH+T
m1aZ3Bjk/GmWgvnZF0Gc2X035nepqCOdrXtZQlOXykeNYGtIJX5Ow3KYAAg4NAiDN5Noli9qIKu3
sS4iTi8EchXcthKL1G6qAXabXJJqKANFu89gHN81Up/pNpUiwiljATK2UNfJI1vTMXUA+U+vINTa
yhuoZn7pYYKhfQTtDHbAr7Qd60OqBZ0EWRhPui4+Z5UcPFmgJmevNWbp2M1acdtUc1E4kWBSdlBM
AjZssjIm6s98m50AQoIxYogpaJtGpv8ZdvAZ6lEH+B5Kwjw4xK4PbxD9KqzoTYXbHE54nbsEu9Ej
EY2h3HMezRcAeNYT2+eWiUtI2tFrg3J80INBvtOkxG+IO4nLY5bSVnSECl48dey4Gr064eQ4KaW3
Hm19XF4UTBajW2ZNeIsniXqNlda6QNezznybglGMcLURjG9jWhfjemmNR24qlUPvYMiIFsJxPzeL
tbtc62VPF1lBlkcNOZIUWAW0vmK7U2IYgUHdGsc21lBfAk0DpKyWcfxUl0l0Z/mJdUuTMxjsAbcH
mtJ+gKAKUVQW7ZFmJzFjoZ6/EvpQPotyqHAOC4BINiJc/00Pg3ICtFfF3Ot4/i077Nolt0fPMoek
D9Z4sVilkaf2oYhsmv6L4kmZaZwk4lWIYyGtc9sUTUCNs+tF0zXnUN4j/6SIntQL3rzWoxsoekSx
mjVIEyqfef1toFyyj6qslV3I/YbhRqasoMCXKdg6WlsxR/TzJDyhaKQGCglHcs1olu4Ueu0+fgUi
b2xSr6EMkmcq904A2OPcJv4MlylKQt/zfQnL5CTKwv2AwPUeJGUnObLUjSVtTbl7VeNGqRySQaba
mTWR61VFZMM4DQiCW5IBSgTPbcnMNM4CafSSoGxysbnLkqLmjlIqu8+FnplRWqLNAtVoZ7e3ymH0
pKGcydVhYQ4ej4bBSixkNdjAv7bOAjr51rEA38o3Cr2nB2nuO1jUROU1nqojAN7K8UIL5e62Tm1O
HZmYV0FsPCW08ngbzXFRnOdk0sjEnQCaoEBvXjXcWdz7EhOMV+JCopE4NDpcPjDgvjMitH7tlUEY
PJqsUrziYU+jSRt5nDlE1NNc0RJc9S7NDiGyK8jjLzPY1fTEs0iKvW5GaexkBXtjezQnZqHBquRo
l7LdzA5DH5m34KlBxyiwQAJeOMbySZxzGBndLPacnErJ3qWEp9BqCmd/dKdRCmXYmaT1uWAehNpV
oYyGrtE16nAXp7MBfjotBck2Btm/RJUBG7oio1Bw5rbHAjEldfY1zceyd6Igt+gkTS3ugnnKDtje
2ie/9fFfTUWjHyoNRb+jzFOZO6ZZwoKIVF+69B3Ff1sgJOWIw6QknA4jxmhLgyWl+F609L3wy+m+
1njYldqSJtnMkx9B6+6MV8ZA+c3EFbh0nSX1gi6YD0VZB1hYy3ripWlbiAF91WMTYgJCvV0q5Nr5
hFe+BMIgHlh59uKNSWfwfdAkpbNnYemvV2kcbH1VoStKKSQ/TQw9yQGh1kEeYEfHxQwzbjpjjMVz
OGUqiAdV5AL2FE7uWOwZAY8ynckzWbz0giQ295WctBFC6K67IpMeIyfHcXOUOiWtYTGE/blViGBw
qGl3+4bqA0RyenlHIxqo96diQy4m7U8/JmxcoLof4eeysUgZwXmgD/fOgnq4yojBSychs4H1aZ6Y
Zx0vCifHqIITmeAEHfac/0fSs/rTMJVh7UDaIf9LEIrmFqOE/yVZbF4EaY0EzaqjybOPmln6jCCd
mSAow8nwcB3RaM1io0k9VvvqF+IxzJzqFvjPUM3bjAacVT1rFMBS7t2cp4RUYe/z/cQkHVsfmBti
YApc5ULq76oxQ6PP4saiuU2GRefKwtR8syZ97t0wUcrIGfqJk60FEo6W0lSxG0QNnTcC0/Q3Op3G
GXNIfhvh7br1xYbCbuEH0q3MIK89EeYFMpO6VCAXM8tPKzlWNIhEY5u+Gmklzh7ekowoUjIBLTef
4epnRGmVEIcBgz5aZBRkq1FW/MQFyGlWNBwq4UAUPdyMgHAp9C9twOxsppR8yTUYS+nU4IN+T2aj
SBwVDcGBmzjrNrDGmy063QHxSzEoT3OSFLFjGQOtnFpAJ8CqKVbX06yFspORL9kQ1jPGtaNWyXA7
Tao6rJArzJ3DU1gA962xyEcLJCZer8f0kNqhlJ7TfMZIBf1HiL9YQdyDzxcgCKEKgXCxLunIh4+Y
A/muepQsxkEJe1t8HRQVakcfBBKdnple8/2ibVDd2iITiSV3INH1lEmqZLWr/Xd68C/pwUvFDxf8
b3fTRf7+H/8nj6jr/QMO8Q/l35/v+3MfrVl/AN2kKs/W3KLVuQAd/kwR1vU/KO4RD/RDHOJf+2gD
lKhFywOP/Z8w0X/toyWFrTn5w5SvJAR8oib9nX00NcwPbRbF1GgW6bqpg5dgufCRJ2e2rPWITktY
xA7vaQmCeQ5IJOL5j4ulN0YpYp4N5o0+lzcECCte1kvwVTQ0FblkSc8JXad90Xf4XlODdcishv2W
tCFtJ9ZNCpS3eh9V5CNkm26tdMzW5A6cUqzBN+CRs/Xkd6/aDIOCaao1HkpS0oBE3ercfUUWry0e
rn047ath8ppx+NYo1qM4S6Rw+PIjSR57rQy/jMamMwUvnJVbtSg3XaudFcIz6tB0zI6V4nyUBvkp
MiNPA+pTJeZuNssv7aTsCNA5hFWJr2nysIvdyuPI/d0Zcevk+KdmyL7UpnYhtcFafRPFYB1Lkgu7
mF1GSGZf2azjOfdaaXYisvMiGd9LK+vWq8LmxTNyQSRilgjI6gtpqg8xzxrS7OQnQdYkItDnxxnp
4iqqq2ld9uu+KNygD3qXIIB6S5hbsu4RxYiNsR/Deqd1MIIrhVUrQWBZKl8NQG426bzsMWJH4WbX
Az7CcCD5h1CIHt/qUVM7yn7atpYztyOjp9TvJ5DiSMB6YW/VllupxbrtNoBxnDzJz0rvP8sWAhae
fqytQ7vs+vtswBwW+/Xksvi3TSmwnAEM4VmotinrTGhWNhKuyjY6K9jmOUMgeUAu9ZwjenSqWTpD
5x9fElGvnbKbnsZB208GDz2q0vEbcKThSzRor6HMXrYKtFdJ1CeiLEeIb1St10QualRM6f6YbTqs
yrDKL1MRXXSCi/VtnA+6YwTFLvBDnkxhptf7UsmGC+5M5Q5dqXwr1+P0GDQKekU8Tlhwp5WlByNJ
SFHuRFAKbIal/wxY/sbXU3Xbk192ozXqPQ3dJ7pew5FkjAiKuZHsxLwFX5ZWdw0gMbPn1UMUNa4+
i8mKfbAXCsqp1sZNDRpSa6a9PIw1Dzi0rFYBjj0hZwK3YbxN0Dh6aim9zG3+rRRQIrVIemx5Su5h
OR4LP0J3ZlKIWE3CDHNeHsHsjw+DwaJLk5oMxY7ZA58HQq6m80oWSvUQTLCUysxG53Og7uN0DD5x
QEIqkbRg9oPhVCmEKKNc0/t2pc7cNMOetbXbKcPgEN3T3uKi+loMpF2YdcDyUphcEkaPUxw5ZTmu
RaFfGcqXvpNtDXs+fUYczkWzrgecYfqgbpI0v2qTyZa2rS85AcdB+3Ue+ud6kgWMj9G2bKp1Y7KX
atgxOhRAhOK1GP0HMWqD91kPdPLVIjSvmmoeApXoJ76AQqr3nMbdhodyUeC6HdjDjO/axG5VblCY
PIlldkXRyYdy0iWlI7L8R97A4s8gE2OuWlsyyPxR0c84ca2uEgZAr/l3CGwoqlDDmsuNX1oHoh8R
RxJqV5dEfPfbGbHIwHCx82Vx1Kpvs5lcB5btDplyUNusJz1bU/uxRe1cieawngvSWilX0j1crOFW
ZxymBf+PQiNxgGECtOqaYaOWenbJZv2FidTRkZb4/ksSdKsw0UGJSVvf/9ICGbWkFoCuFD8kMEVZ
kK/UMVihmvXEat6VhrRREHWgdkvcvA22g8/e8imuV23fSysxLfdNzIiqYusdL6/rDzs/HfZt1IuO
KTR2mMR87LdMyI9K2K67euGYB3bW+Gsx7lZC2K2HStw1UrW2itEdUclFwSnt2e+mwTkCDsPKddgh
Qd9mnTxfscwf8vG1MpJ9NvVHySqexlQ+o9fbGVHkNnFyk1OzcvwYBWHE1tQ2qJCFcnTxR0BmlSE0
m0yPDFdUEhL1hnSVZPpdWJSVi9DyITGqk1nm1yy2djjkXVoKjlSxQm6rWzDpJCzInZekxAkY4YOP
douNXvyVNHa7rUN9Czf4Xg7MK9nRTmLp5cGCX+DkMvjIgPqmo3UtxBugeHZGk2YTGum5zfTbOiNv
qGnvgyiJT2RT7aMuW9fqo4nSUhKa12Ac1sQEUIWR74JC2vmc6SUj5s4QmMv0vrmIGt5jS+rfugZF
ZmB9Gxv/JkvmY6rGF6SuFemneU6skyGtY2EnLZ8gpXIRd8ACwlpexyk1Dd78VWzDI3GYtFCMRnRG
BGkETSFmJ69zDCOXSIM7CtEtW2/8ims02TdaoDDg+rd5qloS5rPbkB2fa3BDrORcfcwj8u714h5B
SeGZqrkLe3EXEMektdFa6R4jZlHCFhtzq9Q1C9puWw/kQOoLuPGrNWDDzthIiFG8bzOTOYAE47YT
d2XY7/SQu5HUwBuosKcoHlBLhzG6q0EBoYkT2AzPXTMBlZuXqpr4NW/mraVRPc6FUttIk3ZHIM+p
S7QT8KbONooYR3ah2IjcdpFBrLFl+Q7yLKeUyxsQkA8E5qykydgWeupV0Ir8XHPQyWwm8qs99pzN
TSgyOwtlNO5NcCqe3qpPil9qZ7NupxvZqhwVgFzcziuySr0UggDBGBeE0dWRnQlqKhmILU0qURzf
5KB56HP/dvKTl4TRrPRfkdw4aJDos3XTQW4awqKi8kjFAId57Bf/l70zy44bSaPzVrwB9ME8vOac
SSZnkRRfcESJCswzEAFsx0vxxvwFqtuurrbbp/3o4zdViUMqEwhE3P/e73IYzUCiBq514h9G6xc4
AL4i+ept+b0Ilu7OLtvgiP3+ErpwF13pnEVRRK9jaJ/n1nhxQjc9BHWTXUvboIsPDyrrGZreXg7d
axNRVsM2FLaAffUT7yCp39jYY+Yc3aoNmFSLc1N34CmpfWsZBXPFxCiVSRlET1QHXyFmeYe24U1U
nPoOXO7mHg2c5mn3J3cLpTlFcQcO8y5PlX+OAz5GyAo7B2/1uZ/ZkaVB8KOPcbphg97mhiZYOs/l
mF9NP6p/0FkcXj0jwSJelkflmDtmD0CUrTJnKRAHH7gLJZqjuSmWsKQGKsQOWVu/R+HuysKk+7rr
CJTPzo2x5M8m524Hht+9Te0ZvVHNSRWaRBPCKGm2BRbY8cW3ymsn46CrDmKYRnCZIruZstDZgr2K
btHYqDWiSGwnLQMRSEOMt91sOZdUfSMmEdMUEv9IkS93qUUY3/RoH+xFkt0ID3CH69OZJail5ILh
L2D6REgarf6RXXhEJawutc3vyhlDHITgO/Av6felB0HjYNRfuwrlQsdnPoLoMLtJHnJbJY99O0W3
4RR17+7Mt61fXIcjmXrqhy/5PIXHMBqj27yx0AQFaPLveZjTGFyAia8j+ixo9frl+GKvyJVvqRzo
tryLxdEUHb+7oyIxHHmNtI/zQzL9nV05nOceN+Goui8ZmtRtrD9NFol6IW2OydKy0uCKbtNuWUUe
o9yE8VpeBEdbmAjNHTbi06AeuhgDKGST/VIjixmZc+Ng9N/gNfUvji1oqS7B2JdpgynW6h46o/yW
BNErPWAtl0rWAYsxu2NkF/MuWuoP08YvhbiEi5HrcBZHGdZPZuucAQuYO7NL6YPEBL0tx+7Z8PP7
0GguhKWOkCu5NaLW2jlE25soOyxuBwXWO6iFeeAS5d972TwBjZi2aDbyJi/jlNx+O58qWkI3iFvP
i+s8Fg69UoGhnjMzuwuS5j6k0ghT8i2nbbWLxgrqtuoXdkERjhdgKj/NMhhPnNk+glgFO4TH6MaG
qg0VOWFi4cdfVG1G2ylTV9wSeN1FOT4TbqeSk43msZyS+kywYLnGS1E+x2b+yZUEDyHISeTL1NuN
sS/ZUYnhWqPI7hpqny4QhbAQ0HodqXaHZ0Kvu4KdQZBTNk39G1CifLdQh3rEOXtcRHwBxZDu8BoE
e4XKt/PSyb5VpuFBZrELROSKkNUHysZnVvGMVwH9CvAgfiFQl786EVDK6vTxHQxaPJRzutyF7Si3
dKfwSXjOKdfd3L2V0H1TzltuQOAJXgwDWrrRXeF5il2DM2xZHeV941fZFsYr4prQswEiN9TVlCK4
7RVIFDSMUwrX+8GarADBxyrQhPUt287FU47iwlVcDGc5hMVR1AP/z+cmF2Zlnrpx5PZwGn2/U6u1
b4pWvVFPyr67iMlVIO1QGbNw77qZG98L4UHTCJFLbph7sfMEIHq1FyqL9tSrQyRBIWIGO3W470uo
COsKAd1J369Gf84XyW/ri6QCZ+XwYsYy3NduAujBjVL14sYapeEyM3yTlmJtkbj0Q9q/393FWE59
17fPuZzdbzRXLYiQlZveBMp1vwWZ3VyoKlenaipM3lutXzv8RMcr28tQJ8mTpNMLxbqB8xMEWO1N
ttpIULrW2qXa+c3tJTe0aNvkjeu0e5dmyRbmj6Usl7j13Z7VSuTOCL1nYSeCj9Y8rcsVSSvelT9e
IkpGs2fS373nNT3AWdSJX4IO2FM+q9RhzsLlZhYLfPKegQRdlrizkKQGo9mV6Yg/Hcr2hRYIF/IN
6yzzPY3NlfB5nMMfi2HTU+vTBvRuiqg45naSEv+r5+TRNN1mKyhGf4F3xp8YScTHdWF0O1aosJh0
DkPSNor9XH+X2bLC1m3cpqzWWcufg8m4oWeHf6fHj8n9ge/Q0yf+uRylOi55PpvquWIMyXa8Nr9P
YVQfkeeMFg+t5+wT8hOQZqYshgBV8vWyLR17y1PMZuKCybk+dMxRd+AUZXPq+3y64TkN+Qojvw22
uXaPVFkyoJB1Q5+TYO2yIZ0/+AmGCR7DibFXnWqTbcb7dOPIiNCCA7Pn2sRgvLx0SFEoYN7grIv7
U+MmCSK/aOttueTmx9JixZ0nx9gbZI4u5uKofeYEhAybOA8eGT0zAJzyqHj3Gs3elZysgCmbtXz3
mZ6+Bgmwtm5ODdb1WupD/RIE584x0vsxIw64b1pn+N5XfsOEtRrUBcsIpbOmzKoTSPJgfIoAuM/H
Uhr+C4PQfif4sp01THCMjNqJvgLE809YLNFltJmcM5L/jqCxPKT02e76njPBFh66emuXCVYOvXRP
MqFEYQuwOjnSco28z8TV20Sp6dwMpRVeGxRtMkgZRpR9qHn3QRjGZzsPGuOEq4W2KqBxPZ+TbZyr
wWVW0LqddyzHsXidqDzd2l4yXq2+CS8iEfERTE0z7Fxs9C37PIMTvaWfP2ZOXrMYvVOVCfXNypro
c8nQkbl0uwhCte4yGfIxgiU9MQakfcHqL5bs5D03vXqOR7t5nRi0A6m2FfIX4BkqP5hywQkqky1V
pQC15sq4MIVgZu+xY7xbvGW51ChPl0WZ4QPX3HydVaylX3K9VDXT78rJ1yTSk/Umwkeamq9j3XqQ
QcdRXirmRJDXsy5+ZMoYnMU0oVrVLKwbj+gWBQFz1P7yXUV/5ZRTxTU6BE8b28quFoEMiyNyWdEO
ieZBRmd2jG/8p/gZhYXz7jP363eOXIJfRHCg9uMcCt9y6udfNJLp2gZ19GLBiDo2iRE8lnlGq7tp
zc9jGM0wq0jdnbVh+S22q/DVSKbolxYn0QZbh4oQs7CS9FBnrHPeEiefVdZx3DCsqnXpDSual8ZJ
y+7ieGj6Y5gyV0+tvv+MVZXfMuxkY4ygsDfGvv7EicCckhTMtVCeDA+tWFrnc3JjTg+sZsy2OvuM
ezY4LMqPDiGTv+vsyOCLPld3CyyIQtG54jOoJFmYbITe6Jph9BQzCzn1SkT3MlcaOe1mF8elVINR
fYynkewoDoCSLkEpA/MBHBhZDnp1uhNHA0a10mdKVBngE/lmJ01vvUL8mPhZt1xc/inKY3Dl+CSO
QQaccLPkfn1LGHmgKZdRiZM6bIQogmXyZKU3IEWpJjct4yEuOBEt0HpueostuGkN8tGybYiPpgzP
NEd7WTS+89bTPtbVxbWkPhvwPXP8Hau8sR/DIrikaFCnsC4+ie+JxwbTy0bhXjjLEjPNkKjgkbic
y8DNdIcdD7HmNk5CpiFUXu+ToJ83hVcxBSlj9bzQu8d5PFY3PknFb73l2juLGN6TxGawGUHYcnyc
MzxAUYxCIDzzMR7C6ZYA0byta/EpsyJ/AGWHEceL2YhMuLru0sTlINDbRriN4w6jBllJd9t1wtwR
EVOka1ERBnuOeULZYAFzaZwK6i72pkltcWvL/h6vVrlbgmr51XYU2FmRkBfPc+1D6I/Grrcj45pS
S/0bYwCNttRU1twgjXxr5dJttSjtYyHAeKNFT9qhxY/QFbydijWri82INDRs502cl925yKzpxkzS
4cSCAD2zjEfnZlpI0x1tn6Wayio3+ij6oCi3lFClDyRxyuY49EbyCXctvXHtDHNElUw8h50Ggcc1
vIB4SVFMXwvdo/cYXINqm8cZbjGuRFddWEucE54pAnR2RqraCsn4BU4T7axCRC9GaMIk6yJV32J6
C4cdlSbhOR9dguFVUXmv/RC4XxwT7fQMPJJckU1xrcKleYETSgYpyiZXHTrqpFDK7Mb8GqOEozGr
81wfBlZbZ0MeTX00uZn/qAM5scjhTrp2QE+NTTsZ07NV1+o6gSu7LGltfJtq3b46x8wJc55EW2Qf
9J1cZfHdNMTtHfxRsbe7aTqaeTsle/rFGGXa0eK4WzJt6mOmSfY7prTyuZoCpHruw+cIhwBMOY5o
r4k312CylElJd1dMCG60KLADiYPkUEbteEvIP9wrRtgdNZ28AnSb1NEdrli+zHquidB7ecg+3xdX
eqSyx9ofIMdlVjhypjdsQrzhEr5MZCQ+HE3FLBgj72wraO4JMSanqi2e+8KzbqpEJLAG6NL0vJAC
AKbb9qGxi5aKrTwKIZ8pYW9HfBwvEr2NGFEy9eS4GnVI6JuFYUhK7tQVpiBk2VXNvXKkeswMGFkb
I1fiuU7i/CWeh+mXYl0mWk4rOyj/OWKqbNUG6tvS5NU7CwkvZOFpIohJRiy4wivCTW7V5bTFqqA+
ZykKlLQR7JdaIvPsL8WFu7VJ9kZUR2Kb+DYpynZs8JKx1J3ctmkPTZFSFsy0CSgcJcbDo+hjHFTS
iu3XntXmOhFD3hEiTC5WRGF4CqKeYm74bEWjqmPite6Bi8yirsheGkQQ0T0o8iHHphvEg8VJKUUy
qFzuQG/8TAvbO7PldmyaFDzajI0QrcYNanVAvu8+R2MQt0sWh19JneRk4+feu0cw4dk5dal1x+G3
Q9acQjpV0tFnElBlqMRbIKjpjZIUoIBwLEi6JjsfwgEPzSa6SdkV2LAphupJdNTTHBoXKijzam9X
Zpnc50ltPOEt4OkJWHC7xDmDhCqaN5IEGC0KTNy7x8GwJXQ8NPTUWy4+nvfdnEFBt1Nf/Cr74tts
zzuymOaVYUO7y2HeXke3c75LhhnHsqBEaRxif0Ns/Un2ydlo2j1lBvFFNy1EPHgMO8EdOR9KGuCr
Lv0plXUVdXKvh+vovvGemd6+7HKs4Hm+i333Lanb42KaL32PoheF4yGL5PcmDm66hvKOmTv2WMmM
4sxk1vIWXobGRbHLIDgUPrISJa/H3KPFOqtqav66OaZXWjd5wia984Z63kcVttkC99ZbF5bth9XY
9kGGQ3/tIaifjZAOuU3sdO5pwZgptr41mb8je27uuGpZpdwgfp2oQ/lm18q+jIaumbOSYHzsnKl6
DsVg7XHOmpt8oZq8dpeXZbJuAiYapO4njmG4kuE/SPcmn+L3JcVFCapZHXOFI4PxYGZzEMzyK+d5
9q1VkJ1FaXY8WACWJk5ABoGM/ONgKswW7GEu6SRjSn3MeTgmXdU+GbU1/mL8W6OlMydRieyOtWuH
TBpm7ugydG4oBpuvjSP6Ox9j0Lhxwyl47iZ/vKF4emGnqYKfAdmgQ9/a1lax59z6tWlcqr4tjgAH
qX7HXfZpWKPY5kFdvPeO7WGcM7MLMAb22b0Zsf/N/TfHTew99UvLuagSH6CAHVebsqU9sPcy685t
MMxadtPsSxmFp3n2h29GTG3saDjhz1KVw5Vm+ehe2dAFuUqSl4DT3ZepHGTQPpf9tWgscz+4MsOe
WHu35MAwGqHsqWORZM5304I/POcYYgEIU02VZPQFZyQgdl1m5t8p9ygOgizAA2l6ZEHdAmClIn+Y
ahn/VM5gPDAvc/a1tKPHDNLtQ858lMGJ05yKmOz1Ajgav/aQX+LU/V4TrT5WeOr21KokX5nAN4Rb
c35yvJ4LCT8UCAnCiT/akHdOEX0/15IJDpnC7hnvMtnAPOcF1UO3s/AOXsMmGDfJEojdyHp2aySr
CIXVaof9VMeaGfzVZgTImaEb9/4ibYYW7rxsE5Et9a5caN3OqoZq8CSprHNizssBGG5+G+TYcE12
VDSzE/8olrTZO3W5fGZRwY7FdhlLoG2dwFkbN2Cwk73tV+Y+8Ed5My9Cnhl/9iSC2b2WjrucBr9d
PqCX1CxjXfW0YELejM2sAKBk3QukjvZQh+LIET27SSTeEZRD58j4BsNlCeOf/edk7Rdj5B3B9hYM
oEJIrV0okALgg+52EJ0Kvs2k45gqJOJQFfiXFY2OTDOT3DxMPAnPIC+iijpzR7ypOQuffcNgbOyN
aX2ogyC7x4aU3mWFKyVd3dI+V7Gsuz/iPP8/4pH+HP5sL2HybhGp+N9HPJ5/VJSVbGks6dLqn5wp
f//Wf+Q7wr85JDT+0U2yhlP/7kvxnL+FOFZMfewiMghc6k/5Du9vEflPn1wagSLPDEilofr8UVZL
44kNk4pGEYtcI1/wn/hS/hfBJX6zFepoK/2nfyVLUaQk+34cy11Fyco2a934xWcPfVqcevr5p3fo
4Y980p/z4/8SJKF9QptzHICi3MJ/rUIZxgCBIJnKncU/eDtZk7elu/nX/80vIdtKTN0mG6X/vX8K
YplWI8KghpKSeDGHJZ5Vu0pGy/8hOwsGlZ/zzxEsohv0uvDm0R9GWveff4+BOF+wLWex0lmROZhV
v1NGMd/Vi2iCq5sAnt82a8jEWQMnyxo+MYY1iDLQ3LrpO9zlv1AiTAYcvdGxaGyhvCjOrKWjzyoJ
ek3yYEt0qq1yOesHApbQIWUmU5Gg02ZIA0FZnTiQGMHO7alQ30CLYQQAKtj6soVw8IbI6VfBqrHs
oqa0QUP5ceZsJwXLamOIcqBlQbFdPQGxQRQlWG/8Rgyor/Vo+YhESZoysrGz8cv10bBR1ihY246F
J5+VHwz4HKRnf6vCOsa1mVPpVsaYtNjOxl26XYKSXG9djRm0J3vEugIzRry5oy0ZTo+SA4idYwPd
+GNFnt8iow5HHM8Kjk/Ovr/b3B1G6tNKky01ftVXz86QX2zl2z8H03UvjtHkEQWhdvaDn69FQgtF
eotjAvB4YwQQtjzPTuybWkzVnRlkACOCJvB+gK7BxousVRE1JQ7AjAIhgPxA3uN7yGwKCisxhQFH
0by61Zt10GqULrtMAxeIv2nY4etIDV+hiPRtlGw56PdY0B2CS4+cwGlmTirf+0igm/W8YtU9VoON
5tt6Du+zSWGgQ6Rpma9mW3avMTWE2BbDOXtRgAs+GWWIkAtB4cRk+4ctgqdnY23H3lPdjYWiT6yK
/BU7LUu5vAWBm33Floi/xRrh5UDbRlQAUwBLiefMDAsGG78eVoruCXZ//YHulz14Kx1sSP3iNcnD
9sMG4mQCsuqK+yrhfL8TjeW/5sRKr2Dchxuk25A2Daca532McH0fe3M0nxqNKnPSyP/sVn4Z3QCw
zMjY1Lde5lpXq9ass7HJ+5dIA9CmHhQaoDqoaEnjde/RykpLVm4aB6j5xKkdmhqTuu7D6ykiplUM
l9YmWtlrQmPYppXINthNlxyLldTG2Jd0j6cBbrVwECXnlevWr4w3H0TztDNNXNdbr9McuAwz3Dlb
6XBzx7B4Y3kdpqFQjepRJMM0by27qDFOL/aEwuVp3pxRyPJHryF0Ux34v4CGxydSH/j8ySgZ7/gD
PmorZFjWdsDs4oDj/WbM/QVTUeXjfrNX9t08yv6xWIl4LvJjRgRlsYf9vFLzQAYPpOk0TM9XyrxX
AH9mLshlaLekSiDvWRrC1+MtYTSv0Xy+ocC4Uc7X4B43dANEnQPy65M2VvvR1Xw/IzOaeA+HBu5f
vjIAu9IApKXzCvbW15hAHA0EcObWAt4kjahCDppm47xYHlQXME3l49DU+lMn0QqvZ6WYyJVoYq90
k2Q0i2/JyjwpV/4JSHNsM+akuSiSMd6w5TLCRTuAlJCcaTVHJeg1UyXXeJVWg1ZAw8BcEfr0ifqk
WSzjymVRQQKjpUk1r6VZ2S15NsNxcTXSBaelhWdtJb2IEKMx/YuaAFOvNJjAJTfCMgYkxkz07Z+v
7BhuxfCbQHsw9+lKl5nntB/2db46hu2O3SytCViGOg2m8VZGjadxNaUG1zRjHdxz7IFmwzyiHvZl
VCVYlO1G7WirwM7krBwcBZ0Pdb2o7XcHFaja0wZmGrsEciQnYBWKlBF1OSH3Gw7ouHAIn5LY4JUa
vecT4q7RKQx/xH9ijPYreaXgaMHFYTa3dM4PL9X0LxeF+9yRupz2lqcgFoLrMV+ssLYvoTHl0yZu
8uRXn6fiO/AOPu4Rb3m69eM2YyV1SmxXzFEYyPbKQoXvUfTeisJG9MoWKF9tYtl3TaiDL/D8CQgx
G+DoFencUMgIOMeLQISQzFyH6lCsMaOhcJIHdw0fWc3UPOl3BHoa5/vbgNzXO8WxgObjNbpUrDEm
BJTmjj9G/c7TOSfFlP5VptWIR2QNQi3BFL3L0Qo/Fp2TKtbIlN67VDtjjVKl2UysKp2U/BzY6xO2
WoNXuShYm41OB7JwGxU/yYMxpRF0NjAjoeR2B2GR/bxP0EUbAckAbQed9fL6xrpj1kEArNBZsHBN
hfXdLDlS6rBYoHNjNATN82Zc42STTpb1kzG2e5TZ+Ue6Rs8Cy83f2pnmg80UifKd/gnkdHKt8QuQ
MrJrDeCtbg20JUsBWKVag275GnqzuKseGxh9n7RGAJgC1YLCskbl3CxA9MmNyUa5Gx00Wp2rW5Ki
eqHnl7DdrHN31dQShSKuM+9Se3QPrrOkZ49MLjUDOrFnrum9yTK6Q7lm+pY137esWT/hjLD+fR0B
FG5GTKLUwUDSafmLkem04KSDg1Kl4geMPToT/NFcvkiA9u2GDCx5w9ocGFXKNYdIXpPlOXNl+dyt
SUVfhxbntlzuWx1k5FlFppFDV3NuGITALXBMzjK4fUlAUgVtvweYCxhB6oik0mFJd81NpkXoXXpP
eldQaqAOuzVjOQWlQWTyj+xlSAwTtqT5iwAU2cxyzWmWa2TT7AlvrjlOoyXS6XuV8bNfc56wyPCW
hU5Lyko3zdzWayo0XhOiYk2L2rNOjqZqhIMHw3O4GsIv3iIdMlU6boojpHtbnHyiCYAwKkdzcSv7
Nr/31qyqA3b0Wa0JVrWmWYUOturjJXWuOu4q1+Qr0niyrXUctkhS5y1dM7JE+Ozn0tLJ2RYHkdrI
tJOvmY7WdnTqAr1cE7fY2seAglqdxK1SSp7xMeqA7prVZchj3HZrgjdHis2JoDqEHNeMr7JNgbHZ
9VvGkjoGHOtA8FyTDNqgIac/csdXN5Gc6KmKUqCCm2UyyBSjYE4+pvW8x/anY8f2Ymud3ljaz2jN
Jac6osxju/oYrTyLD7mOMKvStmLIc8K7MlBr7w1F2Nlr7ABPno5A00ZBGroNkvo50hHpFoPEK1uR
8BmvaeZhnNdp6jwa/J9qzVhnOm7t+FgodhD9zAsP2DDEz5WQzc7LmUkY/yN9qziuG1uczvK3Odvq
IVrT3cka9A6wZG/kmv+Waxb8359U/uXkBUELdIPrIWUC4fH/gsZQZAQqyqdqpidG+1gYjA50ZPmY
zJb/9u9/1V8I/ABHbBB9ZBl8Gu2xYDp/gZzQ5dOJClLfLqs954VkYm1sGtOIP9rQIKrYB8AGNz5e
c0R1123RwBpv/o3BMXL2ucds1QoGXUrS44e6cTo6Y3AWJGRs3cq0bpSS9Utjj6G543O1v8ZuWvxd
iPR1HlIruFM0wvy2ArN/jFx3/vA8OWfYNLy62gJCiX6o0VEfVir9Flu1Ch+Hki4Tv3OXz0ri0GEA
hv0nk5yPNuv78h/JGf/Pt6yCh4AP8m+kjP/2X+v/8vBjLP65ZfWPb/uHjOH+zfItx8fT54CMcn2Q
bP9TxrBMQjLEKRFaA8vkr/4Rr7FI5ZB0cSJgZhgQHX1d/g8Zw/ubYzmWCzA39BwPjsV/ImP4/r+A
XzjrhwgHdLnavJZAQ+P+dPCfXCf3xzRKdhUSd7jteLqoPeMd/wuvRkhvlpN/uHHcS3qK6urB6hcm
SMKx6PTCxgAnN1OjexNNIu+3mhF4rYKe3raGHO5msqP4GorQNo95zGgBEyuqNuatIB93sh/9VzfB
fv+YOVaB9cINg+JBADw1b1t8ceMuL3GWbzII5B8ICvm96aJBHtga5c1raxdJHmzJ5lrjpywK8wa6
3XhjlGMD6Nvm0c5jVVO7yf9hOl4gVrJPUfX4kXZ2YhKCiabvJmVkmD7hY4YbIVv1MNnS9zfEsrNf
PsRMcTs1ACjhudJThJWVyOQOYI38yCqayjYctjr3liFdVDKqVhA0xzCY3302UwPBtiQmqT5QlwXI
VvJUh2KcV1uRMMTYZUPpfImmm2/DOqMfxgqymFh8x4LMajubw57sYJSB8MwM1lyVqGbT1AaDIkPE
3NYj/NhbEnfmmgaM8Cco6MKxb0fgz0ydeDZBffys6E97Hvos/T1o6wUH1uwtd9kgbK3GHwwC1qZ7
xzCuu6K59QjwTL82o2fbN8PYkhtZYjoPSevrKmoyvlKn2i3re2xn/p2odG11YNFg7bu6zJqkCc+H
MOh8IKcN+w9sCmX0IplCR0cxtNHD3NMuiIe/CAlBMMqmdK00KzwjxIWbA1271k9TN2zHs6xHwtGB
uOvWCu4mn5eOpLm2B5EPtoorGhaV3eVa3w1bjGCucOaq2Yccdj7ytex7ILx46NgZtdrZXv201mLw
iCHYT+6r8nOKdHE4AvxArkf3iadtXENXqm1CtVhA6+00kGLMB1rBm7WQnABA/BqXuqY8rBSBJmXQ
Xr6sReae7jRndkS9uQolh8ea3nZipSk+xQ08AWKUPG2i30Eo1Q+O/OTijcw03ztw4htq6ZJ+m7qD
Vx4yR3Jud1o+fR78S7gxpNWU6EwL2xWIUeBLBKQLJrxxz+HWBen5wjad4DFnQa4vUkMcKwJgINDi
PYda4YytMLnNkCOqWLDd7WpfuASnmW88MnxFNRJGbNxKHyM2FOY8fyEzTj6l7mjToswOKYGpuZOZ
u1ws6olsefhi0F7/mzk+J2OFEf42tx2SqIzzOA3Xgww6zsS1/3OyNNKkFTL4CDtK1zZZ5ZA4YuVr
ngW++VfLqDhrMY0ciDl1ZhrvsnGp3irIuMy/rYI4k8mlm+w4dwUui4HRR2Ay5/lWDFHFoaJe5LfJ
cDO9oSzSBpPpYk1HWB1yIXka4WxkI8wUTZjZwB0SuovawVAoom1DKPjCW2vualeKK1CX+n7k2PEU
W8fQu3PrkUxXjfX4afAD3fPlA1VnrOfhewHalR0qmcpX+rJSOLIq4dBnGzH+YvpQ+48AGG9AT9bo
PQpupV++LCDSJllKE1vgYb49VIIszcauhPW7qSemiKM7GPvKNfx+69IHjRe5JT0ypT7dfQC5cDNB
NGrORldLXK65yvuDmAr10kuBQY0zV/AOKMMMbnoWLbntHBF9r+C502tak33f95pcvMl7Ob0IlkPc
0FFiQFiOZ4AOVJlqOjSuFqL9eVs8ybzHec6F7E0HI3SSxzZ05ouMKZjdp2Wvqj0zVmlD4vfLW6g9
S3+OCxIEbP2GQm3MRkR3mVG183YmJveCkxDvHPVrebKvrcF5lnkuGj7yOfiVLBECqF1n8xNT2fJL
+Q3LmJV0xnGAhLwP6ZG+4JXRfOcELsSm7sMi2isY4Xs3bcDEVPjeU/SXaZT7ufLdT5lM5BAwOead
PtzWuX4YeYBBRrMWezfvKzTQIAVpkBZc11Uypt1N5zD82ThdR+JGTBh9dwH2AkpHMX0TXlygKm+t
hSyTDwIX+De44i8nGIV/I/qsLnZx0YMoHnCv2ntRg025xXTVJvvcDUhSe/mi9pOaOYombPecY1uJ
HJou/sePRaVmtZFmJPFkBh4IKNHO8hkH2QQEWFYmSUEzDXdsMjCzF2zt6y3eFTHssfhBd5ZWUhQQ
fEfcM1WWwDJnbJHeMFAFzl0jSwnS5fgAt64T29/J5BjtycOf6u8dvGvibAbl7GylH8sXmha4eFyB
4W+DnOW7m8mZmKjl4cT7D0UK+ywOYvW55AtWXhGOmjZegtd2qVqE+V2PgMRxY5anPvXgjpvEXcFH
hQQ0N8jJcYPhWEO6HVZGHU4BBRA6YvR3vmqjDxnkWJpGN8olW+EgNo/QlAdN4u+jWw5UwiWoppp8
X5lx0x+09Yd20XjBSOJ6VD7CjnKo9ATHnLBcEX4Dbe5YTbMNe15i6FUYg8dI1gfpzlwPiKa8/BD2
Roqpd+aZ1Y899ltKP3UFoex46bXd8Oc4jBYfVIbjVccySiaxtQoAjLd5wEhjN41G/2xMutNuGHn7
s2GiLQDrEP0IyEQqPbpGI79yL6juorRsl73TV+rJZqXEJkQGx6amzwn705KB/tuKunLak2wxNdyL
pYLtLudQ/yjYJQtT+4R3PmmL0DhNktkqD3vRR5c0Y2tzhuBSp+dYxqa/a1usPzAMDbx/rUS/pU+U
LoTz2Bm8kQ6aw9aXFHXu49Gyfsec89utXzbKoHNhqsQpAwjrIS1RMbwnEGXW2Bj8+q1PFOqmNCrj
1uwd09j2zsIGIJBirreVSnGW5zic3jhy4p4QA0dXoC2R5liQeg0PLAABVEqGNp+ovm17FDhFdUSw
mQUbmspN7kwHLPgNcS9g8qahL+N+icPlsY960O615djdu1cTH5lwBL/IxAfVXtOni/c6yYYzVcv6
RdTcSue6IL65D1Y+vIm7DThNTxxpN68M+aY1mQZwpLe+EVKAMs8V6BuHZqXP07Ya2vtUuf5HYHnZ
r3zUpHopy7w9wueC0aGhT85BGIXzPVwZ947G3VOlXumnFwz8ajA0D1+j8XGlxdG+W4n5SOcmDigN
0o/D1B4QHjRff1xZ+zW/AQK6ieVmh0mpfTZswPz0CajP7O+0/pn1u1sp/gtTNh+gkab7Y/bgjstW
6n+Or9XaVEq3AQi18PWG0i0BwdoYsIyUB+TEmTBcZrpTYFnrBSxHfsm8cJY9lHZiQmsTga9LCQqa
aOpN6umuAiwV47CpytB5y5hM+ZvBL1jK4h5pYZP+0XgwU34QBgpoN3MHaOoDeNZsG1MzworSU5sQ
cGRiEdVlCgMAjl9RqxsWjGFwn0Kzo3chr0Z2iCRz1O96bWbA21oSSFwbG+ZAFF8ORlDmNGunQ9bK
5GfT6aaHKhtofShGCxPD2gUBeIgcXLL0/W/cMrRF0IaC4LR2SExQxa6tqzKaJaCbP2grzetCswD1
JM1/Z+/MduvG0iz9Ln1Pg5ubY6OrgSJ5Bh3NgyXLN4Rky5znme/UT9Ev1h8Vjir52Ckh+jqzgASy
Iux9OO3h/9f6Vk4p3rAIpKijNZuCJ65rpD7r3ZaAX9IrFNqPxFCsoRbBa76FtdJJ1a5nkTK5t/0m
fk3DKBFJIfFfqtwLoja8U2KL5IyptnNjI+c1UaOjsy63sOZI2hjW0A25xm9Y4dB+5X2OHhcqpIaX
vCZ1hM5qt6lfEzwA+OmWaxVxNIGtLxCv1mNP4kcu1vSPZQ0CqYlGYaPxmg9C51x/yqcUgT2fZvAd
ohNZIiO4kOvZLuVZ+Jo1omXYFnbsnWrJHmrNI+kiHBP7Ec7CeTNEfbEd1vAS668ck9dME9lqqsIG
QkMeNCSjMJiViUBRYg2tZzXOmp9bBPqy11rzUtLX7BSF/OliI6deIayAagbIKoz6OkHkxK5Yrwks
ujmM35JJiPM2Q+uyhSomOZG8JreMFeul27wmuqQ24S70BJgM9VHvb5rX9Jc3B/w/dOLFb614DuSO
uWLcHUN1xHGXHOFISmM3ifxlqdWJr62cTXcc7PSczPbkK8Hl9UPU6tl3aQRY8PDy6bSj1R7AXp3k
pD50XY5aC21LkiOfhNjw/g/8w++zNEFv3VB1GIn2ipV9c5iXsw4mCgGkT351eG50svapPHyEzV8l
Hb828ZmqIZ5rBiJR/qMfDdMnOUIne4h8hzzy/LTBfUxsijFU9K3qFPsduDc6Tpy5Mfd2k/EZURwt
QrAExV2JVfEppkZY/FWU+jb9z/Cl/MPDWQf9RVmw/ihbasjYDEqVx5gQJYOKA6kHLETzDSVzsvhV
U837To/pFi35P73TVB/Bh1KE0Sk4GsdlE6YZS1cCYGBG3YV7tQlmFlIYZu8/z7W++Ms1satXoVar
CPSpz6w1orfPs89ik/xvPqgwJrLLm/ncLiHWORv65woLMjWIvKiKrQSl80FYwFEMKLVPxrbB5Oor
NVt3XpUcb94lJynVIE1ySQLzVHzJ60Ai8mbb7/JZriIB2hkaDEjO8h6oKdq+VRUWYgOiTIl4/3TF
2hUZ6/ktcG9xVuNg+1Z1qfldkQHhwHpgcMAR4xI8tGafaP77N+63IjE/nk+U6q1toH5YdUBvb1y0
AIIJlErz5pTCezYSmV0kq32wB1P6j4cCdLMCecCzQ5E++hiqTI0g/uPYCSLU3zTnFjK84JalTv1T
RvYvX/H1cR+9DgZJv1QTkUZBRj6CNCepWYupH7kqfDWnUVBUO4XAaQ/LdXjTDTkK7LFPvCSf5BlY
ivGDV+K3L0xozCwop/4qjFtH+GRNcZyuQ97AfjW0d8rSEUtjNqzpKqp6OC3q9ft39rfZTEhao9xW
HqbO+7iWLt+8gVU44RyguU86U/rK7hg2dQxo7/1Rfr+qX0c5elVSRzqAQ2XgVQryqpD0Iy9bd7ci
cq6HQX5E8td+mzy5KinXzoVKV0GKIwWUUai0Lm0z9MH7xBcG7p/rasaNubpuACC5tAq06VmYQRrs
o1SIHdOtk/tpTcmQ8uzSPrBeclDgUJLF+3wqQP/0Lb61/bwiS13RVVrn8cYCMqibTtyRdEZqXmwG
X2OHqsUH0+6fHhJlaFVFm6bZQj96JyPYMJIuFChfYt8eozT+UpdtevP+M/p9EB2CAHx2FYy/tI/f
hKycs8gEDufNmQQfp5YUUKei+kud9u+2xhsAGLHhb269jxDz5z+8eMpf/uN//Oe35uWtoPP1X//Z
zAAIRoS7A85U4IZiHuD7/9nMsOQnXh3OSZDohAkUjEH+bmZYn4SQqoE0wzKYjZ21ifZ3M0OIT/jN
1/7IX0pO+OD/+3/9Mh22R//7rVDSep2B3kyQ0qBnw+pPO2VdmrXjUIJwsihUIwwE5zLU2ZM6g30c
m7owfHxCNOLJKJxJsgSf5VcVZt2A8+25Q2TToaQYfJU6af0lqHPrslprrVUulVvdydAildlIphUA
PCApU4+/cknHaRtWWbCvG5CThVS6a8OZaPqyn9Z3whp8jMCIibqmWBm89UMFrPKLU1p4KzNZqybl
g5yyKnik7wQeGS9TpHcXHTtsnHk4JA9W3aW7hdbLFfSIBSN6BfdSFwggqwi0qlcay+iaJm6LdXnz
msVJNlrWA+rqcKcos5kfSr0fujM1xUE/Jn1zPcZztMaSpoeOptUPAwFW7CFddS4TLEQ72MQ4NDQ6
K2fJrGCHUOrwxBDjZ5pbaA11mQcPWmUHZ01vhge6OM4ZgV53cZfEG3Wo5QF+q8uOt9sryxJfLdOc
HqpZRDd1Sl8nalM64k14UQ1rdGc8tA9BvRT7yY6tkxkbLpV9VYb3Lfjx2JtpfvmckagATql6x87B
QILl2PdjMlT+Am5yo3OQ2OPHqzdTqYTSbXsD60gxoP8zphwoErZWauxTp3lxH2FuMItlY9Fu8eoZ
80GPqX+TkxB2glTnZoBVYCTFQ+eAN5HJVUKghhsCU/S0FCGDKDoBOM7s/Hg2bE/HjLqbYzUAVJpB
WgwnPFA8Ss2F+p0dQlbJ0yVXqcIhg3YdLYZoUy8quiuzhsdrthz04KMaZKJu2clNXmOV2gmTZwHC
CVDQktXwg+RaUjbZfWGJnWTmmbUMLotKv8HAgOJDB6yTE+0YomJDPFvfzI0KfylVpxtlCaz9aHWz
JyeuNzUzEBGxPWzoBZvXjFDeIIyagKuLcCspZm3yjhZDMqRQQO2h9Aderu46f3Wmaja9KyNuU9MF
XpQNxlbBRjYfKBl1ydfc6HCDb4ZxdGLjIgSuTkJY2BRGvgcZE7Wzp5NWKYFa1SF8iVU6SmnW15c6
KsU5FnZySd1Jo5dkQlYvsnTsboC/zUt8aqZI68RVgvnphCZ36MsW1ETVgFVCmTm82BDkfZ3D57bJ
W8z081B+N6Ol/kwE7uSreFtOGmeOv+Q4mnN35ER3BVWLCh+uoZuoHsIclVbU4i2F3JG1SbWdCLmh
/zUTmUJQmXnWZxzroATXyiNAvh76AkurOcn8Kpu07AL2YfqYBZazK4Kgei40wkjBuVrnCyJF1TOI
dtpFpYxuFkKEB9dAUAaJt+b8P4x6fmoujaNth8hmkhpR5rh215ts7gIsjanemxeInSDqjX29b01Q
eLKtlm1E08C3MqdANFbYxWZJdOOQDDMBgkrQXcGUkbmLk1LaTX2GaTzL3SSy6SUFTQ9GVc3SG5IS
O8+qcSJNdqd9x7I5389ptrr0orY+06W4XgoZbfKeD8YE8nA7G31+Y7WLdWZRP9/EcSKvVNnLB6tc
COugzCX3o1YY40FMTU+tGO02sJ020n9EmtDumgpVyahlC4LtpIgfJkVpryLUjZOrd8K6VfU48qlM
Em2shJVxj4p3VzY1qkBLi/KdlkwAlhTJcSdSEmcHWRv1MYkH9GEMA7NSSD9yDVRT2ovIiiJmzCy9
njp0SCqJCw5l51kl4E5RKF1TXMRUBlP6sh7YNfl6jaaQnrMIEbqN8deQ4wlpc1S+3ZA0mH1E7cwj
snbtCyedfoe903nKCygPW82Q3TmeR+M2ATNBtoKqXjkAOW6XyAHVM8T609g44jpnT413K9M8AfJ2
oanbgR2xCutHrfJzYBBUwxWdIm1jJnF6nopW+RKDYKx3qNqtC7byMwq0acA/VUnO0f3cb62Zfu0k
ajot9mScxrwr38qajMiJsITa56eCW6KrkScI3Ct5grO9BxXZVejDVr6dZj2rCFh3oJWmFqB41PGv
DHGP2liTviKg4GhmGfm6BcAoUYgdbgez+2aOfXgmWC1dSI/2RRGQcQww0FEvRG4vhwF9+7XlpCia
JlAQW6T4HRQbKVw97PIbEgLbDa2OsHebmBDOTkuVq07YyYBUXlYvKlu7PbnRM+D7Jj+vJau0V42h
fZ4WRnHezcW47dIKbaiT2ybmvqDrPhOkEaNUhRAGDrfNHoKe1dHoRFrR87SM3WwX8Q21XvVqMFe2
oIjSja2YzQVTT3WqVhn9wLQldIOmXAvl3UwW65szd8I8oUFiP2HjY4GPAvViRLhvulho8S8gjiIn
Umn1p76UPbbHpPIdxHIXUxIp56i7yWetqi7yUfkW3/M+m+51PupdFK199yS0gkc6bMEuz5fzHt7e
fsrhdo/CywGD0HLIW1p6FI6pTl86qeGQkTU9tlHQHmBTy3vLGVLA+60tHijwRN7IKvxFnSr1uZh0
sqRF2n9m1qshYgX2SYV/8UqrwVlH0VwhNiBb0Uwualwffjs5xmllqOl53lTdto3lPiuUW/K/KSia
U9xvcbEe8mx0g9gU5/2sddD2+o7MYh1uUM/9JAMqaHGSQxsMLar5JIhkfo6l+byFRkjsQE6mEmee
E75hFRulFu0TtTEPsQ7POxVx/cApXoArMfRNYYr5rEnH8gB2vvWk6ILd1CrJPkZ3tQ2EatzGiels
WKYcbzblcjWmYr6sEid6wLVfXTi41G/BFBU7A3vzjiDJZEu60+zT3cKZmgTmYU7K4ZIjNscvG6yP
MPst31nTe0kEn1/Iu1ji12R7QM8lWkGq50CND3aOuTtdtkZQ+8No74sOqr4KuaT5WskXUsbMywow
C9oMrZjAqWclwEXMcavIQQbXQk3DB1wCO0wvLVwv9F54lB5LvRgvSDNmu0PHJCI0gz4A1JMzPYBC
fp7z4hHZDJl98fLsxbFq50UGoKGF3tXYZyk1Q1pp1IvOIfQbUZqBVNHqzrSq5bvs6+YuayvdH+0w
oi+/RCbSvCCInoahWk5yA6ZHWPMl+v2MV1AE6gONr8DXyxgFM9aKLV1zxDPJFClsVfEFV4sQGy2d
lGe1RPFTy6ne4HcfCQ+IVbSwKOFormhXqBDofoFWR6GcI3SY0y+tmncbJSSutdKD+MAGdfw64lbd
NpCdoESYgI/ivvjeqVawj8lWv8BJYnpVQFKEwHUPbQsqUlQYva/M6EuQVrTOeZMu4bZT8/Iarxa7
V4IU8TU48UFXwnYPy9aBtDrPu4bX9cQk7rjo9d6P4ZUdzCaTHtVtk4JNb+5MUCIHlUR0/hXq5UR/
j34/Cc2Pc6g9BtAwuleOOK1L8QWV6R35pw9KiJ24Ah/rYqjRkJArp7IfTVeY83Ugx9qrmVXcCXm+
G0TN4teKmG/aOsSg2FFGjuMCWdFAqlmuVPfLWAR+FvJEydXhmSWgGbN4eJGyiTZtXUNW0Ee0stZp
hZdoQ4V2pDBoh0yG7eWq43KtOED8tJgXfCu4dtoTggAM16bj4HXGgodAZ1VrjBhHZ8+UPLbaNqn4
t2khE59QqY9dmr9Ucf6ZBvzlDL9yT+cEQ0eeIzEsLTIxVJQkAQpo/n+Db2RUVs0USnE4c1ZJyv5R
bYPypSePIXGRuos93QnCcjMxexacMmzWLAp5o3/t6PCftlmYb6VSWFtJsX+XdEl2gypiWutbzcZI
urteD+MLmU/EK66MIgWYZD7nPf9s7L1Wt86IhzHcoRNftJXlRrxbwqRcfF6a4aRByeImpuZDSMXD
n4FcR08ReW1Ae9gBeApjLvNsun0ufbnTDpnyDU7/cAt2rKCzkzQnU2oUAMki5yR2OG1VrCo7sh+A
+UWZfkA0rm6Trhg2I1pjxEJEGwQTmBHNSrtb0yybEwVuQR8lI4wAbLlp1F/ZuXWPVwXcKtnumxCw
IPpx4s9+zO0J+eOsm1Y23PXLzlYL4VdhNpxWVkK3XCrwksyrpK2Gjb400z7sFoCW8YmpI3jOF/4u
e9yq+Q/M6q7aX6A2qA+susO+aKbs1gFBeUKVTT3B1hcOBGAIAlEEGztqsVAcX6sG/y6lvCmlCKq9
79ZS8qelJIDlbT3lrz/zs6BimJ/oWVDSWpXMlkqZ821BxaK1sIpHSSMzXv/Rz4KK9kkD/a6BUlJX
jai5Fub/rqc4n5BuIyJDwUdBBTPnPymnGNpRaRTyOsMDyTQo0dgoRI8KsPoYOzUH8Zp9QD7cR32b
KssG57iuPdLxBN7TT2rsCH+ilTVRTakTeGBerxAA8VUt0nHcQN0mMaBtlG7LOhxCi2gwMvygOtHF
TwKY9gEY2iDP4WTgCFCzrq4uzWhsxanDlDBdKRh2wpOpEURAVit8K82minhrXSVGehjMm27ldZV6
Naa7sm07nFCk5JDFa9iz5ZGt0ERfC1tVlBs7AiIGoFhZpTnscbdpi/37tHdm9atS9iV/yUotUwTl
i9ABrJkSbVJ9J6cb9CWM6/guJsNpRFulxfGdkcyq4Dzc5+gdspxW0Zmiw24bqM+yoR/SBggc0/Z0
t7ROgV0vRdY975SqE/pFscLmEtgD0TMob1Io1L7uTgakJvkO1xKN+jJoaNonAVeMI2Hl4oWLxLHV
rrA8AlmiB/yWSAkQ+ijyUOCjoZwcJvNeFrhD4UUjnweingZBwqOwkEtF+R0N/b7rbzqp5hftSFVL
b6cvBcU+N+Fcg9msiUMPlhtztZBT8hjXPbuD1NKeJTq/l2HMzBvF6MAYQc5dDry0hFAYLXJb2GLC
Y69eXYR1AfEeOddlNIjmTMuLZjeGcAQSDfFeWIaNH5sy8kiSsB+6MWF7pc6S3HSspJ/zUhKXB1zV
htw61lspc9LiU6CVAbInX1va+LbRethSLHa0oatwvwjbQDdKNxW0e0YSSAXfzLK6H/DGKlKKWsgM
hEx220h05ecUsyHt/Km/iZAZnza01B/ntuoVwp/sZH0FyHRzqb1ExJVZ3A6CkazhrA6JstPbpAEh
6lS+RTHmQCFH26J8qqkItbK4EblVfFfKYnxG3tvfcte0ByVOYbZBG+sOI1umG+Kf2ucBv8fjaIRE
+g19iwDKnuOGYv5a5aFfPLDfQYHklpUovqAikNk9djcWqn0GfDo/aXMWoWeA6Zw6ME8OdBNST5Om
gm7ZUwxyob7BbqqS5ftMUI1aE9aOh2w7WjiiQlASOIDv0ZRZERYEIFocx/s2etY1eLOQO2pv1DFQ
BhWa44wt148a9QKbKLYcVmhN+8SEZN4uteZOYy6+OXz1PW9bZsjhhr2fRPDGiYjMhIkS7Qmqu6A+
jxS9CfZOO/dT7TrpkLbUITEAXzddSwI7Wm3OZoK9p7V4DatnclomdRtRUeyLRqyqpemhnZT6kKSJ
qjzWbR03l465DMajJWxz9kAXh9oZWiA5+X2q4Ml1m3bUEDmxtEffLCjVWu/NaqeNsQt0GK5EkZry
EuwLEEJPxcqBRBuPtlFUj+U4QedCEhIV55CdOt3TeiWfPHx2E4QjajX9RrfIplEqhZ023iAUFwNy
0vY2qQ285ou19PWDRcaSup0l2+FmPbD6Zi4AUCE+wvJaAAxEiashZYTXn/GyYYTGqh4XfKkIDNE6
NWHMoa5Lh1kH419AjfErdIL1lYaY+zJBf5iDjhmtQD4Nha3EKJGJVhwvpANXl/2vtIjT6sPAI66m
8VoBIT3RzYrNYNk2xnSGIaUin4liReWNmjmpV6OsoIeWzoQWzE4nd27sovDasG13dpsm+oVhcUZj
dzJ1F8motnzwqW1kiieg8BsIvgdFPWOfiMSyjdStpK7gLrUOoiWtpuq8ddSvQ2c+Eb/aD5daY6rx
1pjICOBoAt62CKuuX5F0qvRHMjjkVmfTiDClt4vmLImiGPGgkDUY37Cdxgb0UAlUmoODcO7pS9AV
5HgB5XQk+lKchdFQDvtWDJa8L80VT1aCjQuR1UVmeFYKBxmUyiPJfLsOEUnJgSzjrw7WX87YAqhv
nHFOoe0+Bsnw1PZTnmybTrWLK3p2VXIVGlD6AZ228hLLXQEhWk1mpJeCH83ETa9+vjBRUD4uzK/h
oc5aaT6Etl7Vp+pgzXLPQTFiw5YT2SlxHTfnM9ye+ExFbbpa1oVhgpZoOR+OPoVzxb4jzZR3jwOe
uVi9p0DxA+GJVNiagPc1WX/Qs0qOVyCiZH8ShU1Z3MhZKfKLccYk/VUACWeHGo+xQAHc58N8ksT5
YFxiFiak2hxEzhFFZx3yWooW9HUd+2Ueh+xxGTILFIzylAZNeuqES7u3IjgKUVtYVyapXvG31Ar7
6CFCm9+doKysKjcjeU4HlwjutAtR/ySkdUyl7JoZdViMnI3Kf/QFtV6a7bqBmhdnJJy7oAJsTkhe
ZhA5Bn2tcb6l6LUSYiARtHD6cKirbEYc0KXndHNMya2ZAbcnKgoqnwDO5TnnZEg5K3PKz6PBknDe
pstsk/o2LsN4otmTVj9OE3MO5diyKqprdZ7m84ATwmMjSopeatQ7zQvbnls7IlvWN0FG3lilSc6f
BrBChHd4c5rxpJ9Z5poXY4gArQ4LTx3MduayI+KYEwho9DlfE+8j5x81HQ9JUj/Tb8HFbKI1XW7N
mFRDGiIzGX97M2e/8hl7xwpCsHM60hzVcLz6NeyBMUckLpuNXvTdErpdnnBUT+qqpBTNemTdMqm3
wZfGnhAAqrDxrG2kg6UCn1iOgiVgBp/cbZwc7Nh90mkFy6+9GOtfa4aLoDqqGpKQid5BSc0hNLHa
dlNSOuONKISagFCnuY902AJHcZHSkKcateQRdLFxTFG41ZPd7HrySr9QaSaHktigXFxQnJY3NvWP
5EJfekjL1rZRteqyQuHef0ObnlLTaQkw9xydkt9pZplzeNrMjZXfDjW9Cx/beAj7SUczeB+FTLT7
aga64tmQGE8rpL3hSTh3qgGaKCv36QLi78TSB06YYEC6RkNekkD5MXKABtvI4SH6CNuoEKV5953+
sbrRtbp4GM1pusNsqp8ntSz2BtaHgyOFTY1FLZ5jx+h2E+G3YAshiA7f67nDxaN0qtlDCZSCnWJh
82qUUThzaHXyevyBurUud1T9jSLehUPTbcGJRG5pBAUZugHbUnNXtWo/b2NFLiu9zakFjb1aDMjA
szowqZIABA1IMXMyUjp0LWyUejMjmpkOdCUGqbmjHGzeMGUcBkBb1tKestzGN5zHpUIxPIKryqYO
Xk54aZlrhhgHU/CeGtZ9lj8ZkocUaOBGLKTprz0cagI0dLTEUNL836313zK5hKrrnOD+tWNw01b/
9/+AlyHbGgzSL7bBn3/258FQsz+t/XBEX9rKynlrG9TFJ74ZU7dAb2rCtlCP/N1oF9YnOjcOf4pe
O2uxxY/5+2CoCVyDKC+xsdKG59T5j8KttWMRiwH2iL2Vaeu6RKBGbe5XaU7WyHwInJFEClxOFiDH
2VzjCLp2py7J2GxjJ2cZqGNQiR5A4uUsZfE23HFJc9wPGAlB4JthTxO1cyRKevQw6J1p1t0hhosu
y45NNieDQb/UI5GhwVUrw4HzTHLUiQGr7bRbgFG6/AJkukRaw0LO9bKYgSIqTQ50oKieOhA8uEpQ
bo2bmFL1yRyocbSZ0fBet/ixQ5IH2vC5kDktrKJqOf3IZgDGqqmIbEh8tKdTa6nHz0jTOQrQMqDM
BzlfzlvyTuYnxYrGemPAmKMnkDlUhcBqKBndHLZweyMzhgTGeWiK/cwWkhi8sUk0IgtzGlDnnNKa
cFenhPHcastCF9MVaSaSOzBBbNuQDVgXhbOkcHbBy3ZfoZoZLyU7nHyr6KWygF1tW4HCV+PQ0fij
MjnzLlHVufFtrA+PxEaDBhj5GwEyKxL5AOLBfNPRnztd8tS4XQqHihTRKjgDCOIoII4rEP/duJPW
lyBTks4NDEwqqV6Xtyp13S8cG1SY6HPmPJpanD3DGypm/GJqlG+MuWFF7Wm+ezq0d91fn2C8UpBY
ZvJkCCBxGL1+pQPTvlk9PS/zkLIbNFPtqYmCbHEFEtFq25Ut/qhoGjiAdLVDeyAyreEr4qNQkjCo
t5GHztfu7uLKwC9QkzJxGVKY/g7sLrD8UZc9WQrQbQgO68zR8BwO4bA3w8ruLmhdr8oomBH2dora
4THSKrKcKXPD78i1Ir6OBRwHl5Ac0Cez0in3HVQBMplwnBLDSx/qwiI8mm1Ks24S58IqTrUMZAKt
+QCleFF3402SjVaypyMqviIvYdbXq46bEDZZk/Bu8HJQga/Kxas6DZF/FMRAMSrOPdcySTjwVHYJ
RbuFMhT7dtsRSeFQKyUHykjJimiLWFXpyHTE7zjwQRJ22kVIBmlPsFsYFgroIUskNWEueBJIlu5W
FolZ9lhX6l511gQT4p+Q1oFI7gWWN8CksfFo4khPdgmBQwjIIz2biAQfoio8YfsM8Iqdd78ApxpH
0InlOPwYSTAgznVpBORmRBW+ijHmR9U6wtoktH+AC/ZD9lQZYELcoSp4vwSdo6vSkqBPqj7SzuHC
TpY7Qs1sOEIOS+lZ4+KYLnfSvkDkz/ocZnQicO7Z+vdw7kvQSBRFb61aprd2q1Y+G8rouWsdBKbs
UKx7YgQ0ModSY5y51V373FMFeKLlQ/cdKpX54LRORe4ePkneNRiQKBjzTkjfMIv4uYZDRY2/DNlB
znFpOb7DZ0ADaAmSz6KuOlL5SmaxN2vAH3TLRwZsg7lNo2BBxY4KoKm+TrVvVI6JNtEdaRiyGQQ+
HrJQaVvr8wunXz9ZPpBUHulimfkRkOoGiivc4ywiR/O2zIiWpqtIpygKKx+v40tiic7P62z4QFZ5
LBL/baij4qETGEToGUh5AMLb7YbtB/WqTOabGmEumxxygLB8IF/qyAI5IQ2eZNbQwk4aQdyCtCHM
zfs3+khE+NcPgqSHBm09vpgsj2/lpNEyRypHHiQAc92fgNql8m3Vhf/+KH94nCy0mg6hkIf6WiJ+
OwqQdzkBMercuAUAPs1QcD0HrNeVwBhwCQe3Psnbufvg2o7V2q9vkWpCElDZuiHDO7q4zpaVw7ra
ulSqPIx7brx5WNxvny8i96r1n0YX+4ubfPCM/3CtbFD+e1Aq0W+v1bYSrOwZg9rGl56eHdgncNGe
UaQ4bO0PBjt+ddfv5O1g6+N9851woglBvDOYKFRyPwOELWXTHwbqgx98ka9y0jcywt9u5vpT3gyV
t0VrpevNrDc4sb3aDTxOSZ7tm/7T7rH1PxNz88FrI1ad7HtjHn2ZqW4CMcpfH2Dk5fwffTYXY59b
fTTS+lTeG+nowwT/ns0C2BBXZ/gkRRxa957AzcvFsz4DLvyrE/SLSPOtKFN8NNyRvlrKItNWtpE7
e8+AZneql24QhlxgUXSz3YfPbn3R37s6WjRvn50zoSET630cvWe+Bvdb4R5+eLf373/l64/+16OY
x0p8nQyQTFlHWbbsLjzOfR5Qlo+e1PvXYqpHgnvO60JP1u/rvN48p97di7F7ur/9SXP5l0/oo2s5
mjom1B5pVTCKfh3sQE0W94lbHIKPZqj3X3DE70cPpkkzvVlvmbIntdJrvdD9Zp1bh3b//qPRPhro
aKKgGEJ43HrXtB2wUKZCZSMuar4j4ZeesSncxj1t3AMoAnd+eH/sV/H+e+/F0cwxa0WatevLnrty
S3nKv8OD577AY3BVt9xqbvTRbX1/DgYX8+ttDbspNjkXtC64Fd9wdb6uYc+i60EJ9KpNsQl9cta8
jxZTsb57713p0Sxi6aI36/UuV/7X+8InI8v9frh6+uB+rr/+vVGOJo8xzOkGYShw5a12aO/Li/og
n4MrshMoJVZP811xiC/llXH3wbjrLPHeuEezCHhLzehaxiU03ssuy/PAt7Yk5nqfEWH4Pwjp5S1S
3R8fTV8fjPu6SrxZeTLEnoOaMm63RXXujZtyJ881/8O35k/jCACPpG0bFpWGo+trUzsv1HUxpaa0
EVyj9B1G1D3nNPfQJly3V4U37JqdfuacfHBv/zSrvRnbOHKMxDUYQ2Ncr9GnQXyfbaPtuJ39dNue
aPufDrp/CxHeCBGoEbxfeDp/ap6KCF7VWynCzz/1s+REXQnYtq2q0tD5LxjN/6VF0O1Pq3MD16sK
tFSaa13pv2pOn1RgQGCsiMLG/yM1Jtu/a05C/aRh+IDI7vADTbwZ/0SNcLRK4bgVuBCluf490uFv
/XWe05KOX14Sq9Aka3AZmk6cRsucQ+2vAv2qToe14W2ThIZQLUN2/sFbezTfreMb64diAYKThnVs
QZKQRPSxU+EYmO0Vvt6UGCkn9QdinwTN4ci4TWlXEycZjG231fBWW2QetPXnqNGLyn3/1/zhZvDZ
CiStuJC5t0efkJZRF6AyhaGljsgQGPrueTQJUeab5oRP7ut5a98jr4gO74+7Lp1vpsW/bgIeG+Dd
QoOlfrSGq7mTGXAdS9eYWWG9LsQUunMGEbcf3O51nTweiBYxbxW+SuyVR6taXhRJ0NPUoZnYB5+J
SpbWZhYOKq1Y763d+1f1p8HWiikeW957ZsVfX61O17RI6ZDTYvBQD5Uo+4uxAMo6mBCh3x/qaD1b
byBLNMMYtgnfwFxv8Jv5XQS6QdWM68I9E3xP0Fp8tjtr2KVFRqBNgrDj/fH+cGkmOkCQMfQKbaEe
7e0yXYnzfi5L1ywt21ciM/BIo4LsxJ/554/MXhFyTBWcfR3t6N2IwYaEbQfh0Jl1VCv61JN6h+hQ
ngitADf7/oUdbXvWG0nxeRU5WeibxWv14c2NpHtjkhOhoBzJcxyoZdRSXCPOFlWf3WrfO1o+RGNz
Wv6AYP+ncfEVMyTWVBOU6q8PsO9GkWnSYtxxpVlNZHAQwKzizITA8Hlcyd0Y45XL96/2D4+RUj8l
NEvH2vVbuX2wBspUCqIBXtPZh2ML8C0lXtGyWvODqeUPbygNBnzTmPYk8JyjN3SRY28NY14C81gW
4uoXbTebg73vmyDxR6D9Z//80mzUbHQ7VpPg8Xj1SE7kZCOSLVvdPNGUBU4EMKebxSZG+f2h1p9+
NKnY9uq95R5iV1zXsbcfn45kpwuhALvU87MLvQERgHkm2v5/jIJiztAMzODO8RYOdy/CGYPZpE6w
ptWBap9GSjSevz/Kn94I2wTbiDiPJdg6+toA8JSNOQMiq4EQkYuimtm817Ht4S9boVMfTJF/eito
+ei0uATrLEv5L7dOVRcT0AnzFniW26FbrvOyxn1YES5l1VSb37+4P42GutF20EVi5JRHo1VFm5gS
YzGb/Do8FHEjt20aWifqNFWny7j0H1zdH14MZmS+Zgcip8Z68+vVIdbCXKGsAK6hwuy3wHoZ/LAU
wUcFsz88NYbAwAz0kw3VMT9kqnQRQZXEuEfWWE70rNP7xCfbALgRuNz+47vITdSFZq4dQeEcvSLB
JKYCo37hmk5kEP2rOvAgGx0fZaBQkXazQY/++ezIis07T42ZnaK+zp5vZuWltHNIlRp5lETbkScO
aX71ALS9oWz0AOXgNInxg5XgT/cUxAPMD3bBbF2PVu+og9EPWuX/cXamy3ErZ7Z9Fb8AHIkZiOhf
hRpYnCeJIv8gJIrCPCORAJ7+Lui4uw+LdVmtEx3usH0sZQHI8cu992Lb1+XnBpa7TV7gJc3Idz8x
NR7ZdbF8/29LB1tQpxbSax1eqD/4ClNJappfma/7fAORS29XPTLZezVPpGCkarBPdZ4jSw8JJ4Jo
E/YqrDEHL7foW48Ib3jd/Tj3OwICtVu49Fx02V2zWe7/sAwn4dPnnehoo84yzTA8uO09aLQtfKUn
HgrNTvFSEz/PvpAC/SV2ynYrnMbcKkx+J9pc3uPBPL0sBMygy4Hj4+HUm6suNfFNF2UDCBH3ETnc
+dMUxulrVZjFiw38bG1rot0bCsbp50/88SvTi8D2ueywObocTgaCEAXMtth2pTvqd3h5wIbGbfQd
zZK8mj0t3MCL6a60ujuxEn6chZbuy8ghX8PzXPdgawHkx0/6sSxh55bmDTrcCEpyatx9/ngf51bT
ZS/B/QSCbv7t8iv+NkQHt5RJgvQQdbGMX6KZ0JI1t65VubXCsXrppR2dKOJ8fKE0A1RoYTURMnU4
6cV9ocW4+XBu9AmpQE1S2rc+5geujjMLFaDJ9btbRjipwjpMmxPTw7HWf+/qF+gTs/xBBx60SiRU
UauVqGtugl3ywvFm2VWsAh8RNHFlZTirdT0KWD4K9dnb5+/74/RksqaIZdVkIePw+P59O7ir2DYz
aRhjZmIoMb9ntaV2BkqpExuPIy0hyTDIWlga5CD/viXOEkBHc1bNMoS6ui5nj1tQPyvR3juDPcUn
XuzHUWrSjxaLAPs2ixvF982RS5ylY9+xvGDB/8mCss7Qc+PUCgHd9GW1i8hBf64Vlst0Mq2vn7/W
5bW9nyNo3UGXxmYcibp3sLhhlMYd3tF6zLX6BWHGAi53afzxkFxaobDBRlj4XKu9f0ZGiJcQKMGO
EbQLkn3revDAZP+DRyFDilHvks98uE53mHK4jaURR831LVLGEJWkEJBpP2/nyMj36BnU/FxSx9k0
vn8YnCh2oUpytyJik9Z+46QkvKGnaX13PPe8XvvjLSrWEe60PT4Qejn3oOd3kTFVzfKJsFKZG8i2
+bUdDWpTRKN1+/mjHeuLHqFnZJJZbOwPt6cFIYScvyb2AK7q9iJtrIDiQrE2JpXv664V5w2RTHd2
m9bPaN9PXdQcmWPY1vFKuaJ0qHkdzDF2ng15K9iMh4u/hCgkv7m1AFZ7KzG67aNhaDZyUytpHgkj
m9oTD7/87QdDwdf1pdJGdCZ1toPWEQPVhk05ZqXjcX7mYyQ4vw0GYyAJC+hWQHeze3LX7X8w4dCw
b5C/zn6EKe59h+qTBCfjwKEAp2CH+cCz94OHrld3Zfbw+QfGu3TwlEtEDNEy7HuWGhzg6PeNhS30
ysnCkeJ1M9qwxmhBoSa6TzEjmYzG2MWuCSspN3SVbxOvj/qtl8FFWnemX/eBPWX6s9t7sBOccqjm
bWI03ls51VMZpLYa281cF+E+j5bTzFDELVh6gfnc0bue3bltuwRayyQPA1coa5fMI4lnEIMGhCag
jl1IRuipVt0Q27+6OU25N9brwj0jdba5chShdWv0HTbkmbDIfqbFgEkJe/jobdJGDVoAS4e/NhXu
+L1xkvxVmGWH3cDvRLJKs3EGCNp1JO/r0iA0MxosjYp55KnLuBgT9wJKRNSsWgPL8BZT9bxrHaz4
Qa5Z+DUz9uvRpu3b+h6CKFn1w9RGD5M1G0RV8pg/iNw0faafvEgI7SNyYT35TnOukXUig9LQ8xcr
SnOf+BzLwSWcTOm5yCespJbfl5ezUzrXqHpAE+EPQe6gsQTYiI5m4yomh3VaFW1v+1QLex1QtBrC
NQBR1P5eVDX5urNkfy56G3uryxFBC7QpUnfQw0UfjINsiEvw8tIADjoikYXOUv0QXo02GYZ8UW9Z
YCHSo+RCE4yabUlZB4p+l7uDS7Sm9DMEA0Ch67VK4NUHKu3EvZx88nlwefV3MUmGgNuQJl0kNVt/
9vbEyK+aQpfXTW4a9ZroB2MMlC3FY1E6ZJ4xidTE2Wjdt7Zy+yer90i37WSSAtMKF6uwGYf6azrE
yl4Pw6SMjWePyKpMYknVBhdMO25xcGDfgkGeEUqAKz6ApY16gqQGDKHuGLI5QqWXdevYRf21HvVy
nHACTLCW8IJAXSYTmv5hEfcYBakxa89xlaHAQwGmk2oyl7OG8SRyTEJagaBila5nuWHPqmGaIJji
CXRamq6JQCFCBeyClKuGDJtmY4FCuCsaizT6XmrNS1hTdF/FUTdfk2IteFVomuXKUK6NKt8P/ceC
QF7I5INtRduCKHxSk3HrXJCGCjyJZG8lgilRTRP4bYLZtGun7hFP3IBq1BnlKxzaBr8XBtqXuXDj
R3oDr0EgssxxDI/fbD+NfAB/nW8EfjNaxj7DTT/uzXgw9DXZxW33XeEPU7/Q95h1YDu20lZ5WwmM
LK6palK5+zrfDWWni28F0dPfOyA6xPMDfq2vBxlp2X2NMSDblfbcLQ4o/FxsK/CmBbkeVhjYCICl
nK7NpraucifMz5tinMazwa4T82Iwkoic9HlqieFRCPm+RUIlt3Hp+uTuknnqAVcsYEbJVnhPRHy7
+sYaCg3flCPy+Uyj2ibIKWndG9OdbOemT0v9salj0qkxolXxWWgro123cjTANHgzUswIWWm2MVLS
0G/7ktSMtSSY/SeQTDjeIp1zTi+aJ823hl40BV1uh9NLT6bREtYfT0s0QuqQxZNqBtBwS+++T/z3
6iacqOjchHXuy6vSLM0e3IQdzmSdl7ZTpA/SWUKop1lZ+T5lBnRXOfOUS5J5nlyN/TyimC3YcV4p
28l70kssSwWpbMQTAdJDuMT+w5qc6ODNeYTwvd/V0WzBmyqhQ5HC0Wg3vd0P/gatH9FUXp+MCEVU
go1KphrmlFk4cbRu56kPvyKHdMNV51T6bVPXzW3sgKDcLXzPPjBdLb4kOtOMt8C4Ju0ij4smeW6w
qMbXPiL4mT+YevWGmB/XPGOJ9MOVIvxJ3cgQ98h3vI+mufGIzUOWVlgE9HZjKrXLPp2cXyH6fLnq
E6yDW5HJEsOBTxXursRi0V1Afs4ddKt8+630DfXLKsKsPSuLoXDX2RT2HR8kXBjeQk9fxTzUSbbi
Zk5+1ZnYvIBsn0KntKsrsSpIQHYvhBkuJty6njSCEUb/HrM7sl1jgDYbNC13Nat+EJDg7XoQCX7u
vhErLzeG/AIAR+GeL2Juf4+rpnh2UTszN6SNZHfSV22+Gydj6Ne9r7lP5e84YwyMJTCXzhY/3H6R
FiSkQ+zbcM53yg7BjGSOn75N0I+enAhwghNCvfOFLLZG7mc3eu5l2d4pZKOCssOJxoXcZMzbrkqQ
3xZE1PfXbqG6dl/CwQMzTxC6TQFjmsR2NFQ9BJifpL6a7BJ1Xo07TW11gW9vPU/MzkFLMkO1b2C6
TwHATT8JDLuwp01uooe+LsRQFGe6ZAFddXHiuRvH6udz1Q1ZdoZ5TWnrZEaUtOpCLcLmCWwdugJ0
cBZojRjITVVoCHXbfEzyp9ytTG8nPafGozd6MT8kwzO/J1yOPLjSWkZDxWIENa+OQWFafVw3e0ob
1oOKk96FTgAVOACGPYfMlgLjZGfTWNDDIjBWbNXQLmAByC+6qQzttUNMGzp4O2ESb7k9vJYlO4yg
FiTEY9pYmDM6Fs83bL36FWE20N6Knl+3MbQINg/jor2M+zG/6booMpYYjxrjYNSwjA2jyOsN67A5
raYphDrXyLl+qlJh3BXexDYj1pLuXpkAFbAc2+heTTOBB5JAw5WBtKT5i7sPFylGREkI7TD5nITi
m3n8UABpIb0BG2GQotkmiZ9cojtr6PJsO2i1AL4QG+BwwTPMGYN9GC+teRA6lSwV/YotN/6ejoIl
x2JgIZgucq418ghgyIapy063FlN7TjqYGOWONTi9m0Fi5iund5wb167hzdTDIlAu7Np/wfXscEky
+clXki/QT5uEaFdrp2/UbZ1SlMTF2Y+XJIBwgVrWSc8GxQvtW4Vc9TKpjeybksr90RumTeQY0XHP
9F49ChLbK8/HsCSipbFlkwXsSvKlB2kTUT36FJm4t5vqWumtf+2MkSC7XIj8pYW+yfvq2+4V26Vo
NhKuwQY6qlMGoztLlhnBj1mNWT78Ioeu/VKSjvyLMD7rPDHMEDMwxnhS57VxsIKo1qLXmEDMeqVq
Bs3WaEPMmGkjhiuSP+InDaMm02IS4hVro14564JNxHQJVSrZyyLphnU9gVvHVJakBfudkr5V507z
2M2eOZzVumjzwAfmhyWs5pB9Pc5uzM4L70UXQBNzzQAwEwEbdhGVDduwuGEzVtZop7U5baGgxJaB
uwrdOllfnDaHMAu6jpe+kDjoS+YwkOmF2c7chHWM9V5xhV9Dv5GcVjRMmClRLy1bTyCvMfp0i+j8
uZ2JPNHEYMybAXuLecZ1Ufut85i512Xousla04zc3Hp6as7oxFvhr/OBDQNrxpB+19p4ceRnGSSA
2cNqT11R8tdWfumdwaGBg2L4+QR9Q5+tX5HKaUcVoaNfG+Am0YplCTna0RTnOC90izSeaIgxqGrT
CGdCA9EQssUwseczQUB7cFn6vvSd7s+bpmXTAZyVJLgzfWpTa0smPLucqkkk+9dwGH3cIk3fohNu
w68xTMgmYAtWfKkm8C6Es5uzdkEQkGOvY29q7sPOjedVr6EQD6yyrZeJREXztu+Msl6P2HbAQ5ZW
vdGyuAb/6rSuCDxrzLVVo8/9YiXwGu/c8xPvjf0dI24IDfbjPVCeR40iTr9qYZdhCSY+biUSmTyA
v3TIp3Pc7hd0R99aEWA/UubviXAJ2m4ieUdk8fwLF6x/Xo4Y3TdeNZr3UKHnq1nm6utU22CUddCr
Zx5UQqgDfcP7cwo/3YMzNLwtjiLH2A965F9AbuRHOJFn/MLuUcfBDDZmJGu70YiZaDWufFk1OSBE
mozAlPrUHtn325iBcM1lP+3CGAamvCypg8aFNhKQfJO2ActZbK5LN8cdrOk4jVap1/HfgKhUUEmS
Wu7mQeG/zsoGzAllVLpYyC/fRDA3HFwto0YChL0ARmYHqEimBLAUpTToE3R+GBCAUPE2Menxd2tx
YawMfY6wXbfkTW7aUfqXSqUYkl2oSukGH+9UbAhpWH6WBJwiunbhq/go5bdtmtAtM40Vh42kpR7V
jKf01vQiwhUrPxYmH2BqHlJHGjiYypK+6WJu7ZnxYsfldNCpt9Zt4juV+/xAKoGcVACw4KUuDUHD
qujCG4Co1hdBjjB7YoIuODK4wNcCYmL0gaWbAEn+PiyrQdmABYq0Rr2lYnmPlT2CcekiQvO3ADhy
K0itloMO+6r4Li3MWV+iFvk5hOWpNxFZ/E1AqPRpTzo8uI8y9WkBcoisWHvBu7SFKogYnEoeh32u
f4mVjD/ehQqzepLbjrtha72Mw15BJTKL2dtOYVXHm74GX+IQA/nj87rDQWXHQjXh4smgtkLfJonl
oCZvh6rta9OF765ZnJFy4u7kmYjCmlcf4mVFqsSBzMK3OubkTXze+O/a8N8qO3+1vpRyrSUj1zEO
KjsO4a8NwGnMQ3j/mQ0JwuIwZLAv9r42NR6DRlot5zyIRjlvhIhzb9qVGMM2hoowUsCQetJM+tCJ
37VUCj/7Xctb+9sdQikax6aaDgAvBBK9ackNw7YCLGiDn+1XUiKPon9riQAqS4WdCLdyA8yDaaUg
vBWCVP/t8190UPr+60Ut1hbnN27xMO69GfG5SSul9F1wSCZSQ0VByGrANWBXOdWJyvdBKep3a5Q0
6RDUUfF6LK/nb49fKyLbMlB+qym1vR9WgiOQ4PVCuatktMcfgOSNE6XbY93QRetCcc9ZhGgHpVTS
RTvS1ogMsZrSuHUwEK9kqHubqBfjfhoEkZhkPQaV6ZwQnnxsmIIitqSlB9L+oeptcjSwdjV2HVmS
uEM5dbqa0BRdQI1lfhpJP8Gx39z7dh5tP/+kByVdXvL7lg/6mFeRRSsAsGKLmoihrAg88K+ZCMYb
vymSJcVuZrFtCAaqvxRWawx7CHp9c6KrH1wz/PUrUDjai0zWNbyDqmM32RUbbkYglG7BkTU1bqa5
rvafP+vHDsWz+iayCsNBFCYOPi9NJ6bfMJ7If+zPbZ1V3Cv0c69R6gEQh3uiN318tVxu0o10ag3c
mZsHdVsmYNtvljixmX/6osklLylr5M7NFIlLgDSQeYSsWXYv13km9d3nT/txsHL5yJyGT8lwmFgP
nhawaegXGsOn7Tm+9mPYBdJkohKpfvZ5S8feK3tpHTEbSjEUHgcD1c/IpSJjbxU2RrPP00jHdUAc
EaFvCxCrzVz3+h+0iCVaYP4ylvvy9y3quJ8bTrglGd2aeg1JnCWoInVxwhJGR3zQ5J1QXBzroChJ
uNRZxLsEqb9vUCGQsYjOZipuJcu6P9ddva7dbihPjMejDaG2w0FuWXy1g9vFRII3ATWOjblxGzZv
hF8aI7l8f/7+uK3VEREiCtMPfTXK9fqZkGQ0DjIGhKTZ/kKzMtrN2DcgtmNNnrg8OdYZqTrZyAnZ
PnBD/P79kdFnR5O3dBF98O9UOTdmMEaRq23kApQ5MZ0cXNX8nk4ILkNlxG24xZz6vjVSB3OJkIqu
r0fF94RkYkpkGceiub70OnKBAFP1w9fP3+mROZzVSseLyARuckH8vtGFmmbaFSnlXhLHWz5xuOuo
AKxMQm2aPPSua+b+nWVOWIo/b3kZX+/3CZaLWNj0kXIwt1kHcziV0Sr2gKOyg5Pes6FnuNEbqQ9n
7UzlLDLjcvN5g0c66TKjoVTj2pFPuvygv63MxKP1thVT/SS5H4UIwclbSeTsiU565Cu6Bp4vh3tn
kG2HyAt/CiMopow5qig67Ek369KdiR1fbBdvIt8zFdONPg1tfGJCO9oy6xAoDOpDaETeP1/okTPd
I45mi71QF0fTCNdhx9hYTSiDfrC0FNDGdXsITzR8ZJjQnmDLw10fj3zwJVuuKFy4hrxY0pzOSbEd
NuTWa3d+bckTM9qRZ0RlZaLnYjbDp3uwPDS5MGZlk5cAEzVca61m7kbilnLeqmnc1VXSfst0/5T4
5sgD/r4aR06JENwQBw9o16X0/YFBkugdrsiWhNaSsuuOdOz5xKg40kl9kykAkREqQJBV7z9i2vZF
K2ceMMwNa+335Cyrxj4lY/rYyiI4AXaJ3RkE4W/u99+GghiozCUNsjiyDORNprJy48bpcGJ/eKQV
dkc6/8fsiYLgYPoknaumnuyXK4u4vBWZdTb5ClBF/3RYs7VnyGFW4l9csL9/Y5QGh5FTDjEJE1cp
N206iGpdtRrZdH/eENtcLvMRutITDo575mBZEeXxJatDWEFSQNms4vHl80Y+zoo2smBAe0t2J0vC
wdNgpyE8gvsuqoN2ds7kmUwbrhJ4urGUxibDmT89f97kkc+E0ovKHPorZo1D5lBSOoiQcjbTpslh
uY29eltP47j+vJUjD+aiSRaohGHCWYetKET5Eed/BCY+sXJVHruXaOm6redS4yRY95Q28Xh7nEuc
306Aw4VtMIR0XW6sVsTQcRmq5W3kIn6KfC7VRVrdybE1Xz9/xKMvclF1s8ogefhQDwC+SZ4ML3KK
y2SNAyda51U//3l/B28i4HYiUie2+mBUUXulbj2ywMhchLfeSHpaB+zxhJln6WfvV2cUGTZLCUYi
n/PH4WLixH2EzQanKkr/bZyPpK2ng3rA4OTvfOW5AYTmsVkbHbmkn7/GI1+O7RZacmKKOFQe6qoG
WMZNg15rVTlW9G3Re3ybpW9127yinreC3W3Y28+b/LisoM7hg3EewDGCye39HBKDp+DebySH2yzn
nU1w4Euuyam7hEEZxbdhNZg6JVmgp3883dMwkEAGoMf4O3QXYQNiA1v1qC7iXrtObatYdXV9is32
cf2iFVx4mLN0kusPHWFVPbrS9yT1/NyDT7wEmaL+KF2GQp4DGf38ZR7rOsvSjLaLN4rC/P3LlCxq
JdAijsUete7UsZZrnUSDhsi95hWQ5ukKNIq24wZlevy86SMjkMMOuwNOCHQfe3kRf1vX3IRY08ix
yZSfba68CtffVJPuBJ+3cqyDkrHMnpkhwlH1oLdwG1fj+ONTFQ7Apa7UtBdzRKcKTrA5GyG0//nC
4y0neZeC0uJsOlgT5rmrqk4izQmtirTQ3uprZ5XEiehO9MbDnAnWG1YAqgzL7oP/fyiVS4AyhWkM
I6aaw0GtWoQ7ctWR+5mf2fqUlxuZkSkpBrMlubys6td2RKy7mgpEbid+y5GXvEjHOA7xjlnZDz7l
bESmU88IBCd07CBWdvUwbVODrFLiU4sTi9OhgGx5cB9hI8aE36vFoYCsUFlLYY4CeKqHUTwSsxOm
3CKFNomFMd4g/ORjSlhRXttteSGoaz3pDee4VTYYBfFJLVnwrzr8g/EsHzUb5IbFZHXhGgMCl5Cj
1Ykxduiw//2DLeEY7PMFMrtDI9EIZDxyRLdQ2MO+2CRDL67UmJs7ZOLlWehFixSr6XYxCWAYLTQY
EatocvVHk58rTwyI478GC5rvmA5LxmG/SZ0+HwSXn6uQfFrehoQMsjhlLFDDpt/f2EWs7YVaKEZ5
w31sDphZGyYPEWIq/kyW+9eb+dtvOdhBE7umpeh/IZCPbbTBOpkTHWScOkwe6570l7/Answ3B66g
auF7uRatRAs1wGr97s1sm+xqIA/ufOg4+X0+5xyZ2dihOQxJ1mOU8ss//9vMZjmzqDDqIGK1zWbT
ajMi1qlQJ97dMqgOVn1aWdyuHLL4lAeDbkRfmY+S0wcSkuY5TCNA0o0RfcfdfGqDcfSBOMktYVPk
Wh0mfgxpDZZAZxsD/gnkUstlUTsYf+hJ/t0ZSEPEG75UVD6KbyHp1ISCkyArgWFsS7LK5ZrzG2nN
n3+fY2/OY3XlG+FxoqTx/vu0HBk8/J00RPjnFl9Bunarwb2r48h8+CdNQdX0l+06TpT3TRXd2KHH
4SPVY1/fkHeKtiTz2mHRbqv0yz9oDNMWhT027qTXvm/MKnDwOAbbaMxv8VbKHjcR6pf1gFBl+3lT
x3oEGz+WVRyL7BsOOh9IHMvpEIhxDrGLu0wk3rXjDaeSoo4NXNIC3KXoxAJzuLEt88HhupJ+V6Ke
FStJpC1yoUR9jal7bWsJCOTzxzrWMyghYj+zoDLg4Xn/Bs2ehPTC4ZZQq4iGTSH/fWlTtAycFuIT
H+vjs1GDwSjgLvZj0LSHb5DAsbwrEFwQ3tHu4rC5q7z2HOmdcybaZDjxYEdaA7bKvpX+blBAPziI
KGlqWLrbYoWm0jlfxKKPqJjSTazL+TZs4vBENfZj/wCmDVZ92ZxwzDcO2ktwlFm6BpteuE30XOsz
0hzTUPeff66jrWAdYRhzhPuQRKQB7xnnhlbcOsq+E9HZXsdFnJ1YMY+8u2WDZS+90GX1PvhSXAIA
ZfQQcpXDNNzq5NsTiFqmMFkK5TwZTZj/+uPHogtiVcEx+/vy7KAXOjnEgpiDBgZ8jgCF8ZNA+T80
AjPbcsqAHbxM6Fy2HlZIDE2GdTmTv2NWponlMiw0atZWCcEyavqV4JudeI8fvxbzOvp6wLMkJyC5
eP9YzYASdhq465vyRl66cxpeCalM9cezu2vZeHPxxDG7c+p+34xXaDAofOJAY7MnTBYO0lxD0oAG
dwrq/uGBHKRWLsOJg7exHLzftxQh9dWkaOqV3kzJc1Fp9Sbr41NV/48bfZrhxMt+AvIuvp+DZiDh
Vo3nEj0CTM0k9L30UvNCTSozrwZZ58MmBZ+ZbURj1+MOW5A/3HGbysa41JuTN3HHnnmZQjjzM5tw
6/f+mUlntZIq58dMMCuqFY7u+NJK7OJESeNIM+zvHTomE6SDi/J9M2LiGtNaCoWVq7y1b6q30hTR
X2e1P4oUuqnfyoe+fXvrr77X/7X80deqnn6Pr9/A4v/9TzfDWwu64O1f/A+7f23hl33vk6o8/DPv
/gqgx//5NQug+d1/2JQ9gsQ7+dZO92+dzPv/5iMv/8v/6z/8T3bQ41SDfP7+s0jI5yIxJnnt3wcE
/a4J/f/zrK++E2W9a+HqVP/6Sai1zI/88f/kC9ni30SCcC/Kys66RXn/f/KFbO/flCwWXQMlEgrV
y3r9P/lC0KMX4zGDn5gP4S45R/+dL2RY/xYO9XrKAYJJjy/+J/lC7EAOS0QC+9ZvBxf7VeYAd5nR
/7YBh0uYEGhD6n6bYwmCAifMLx1BLXKrI08lGjFvJRicZvqWSpwQ4CCMHltKo+9rQ41B5ZJNyzXa
uCasfTorVXqhTVb9pGOveI1aL7vNcgniWRqEsIwRcOjRIx64qeLhLrbM3ADUyu5/9mGhTsSTojgN
B/1lspwBhAKFOUh65dPol/G27lMse1nG8sgBFjglKwzmb0vsTIbZF8vIuoXKOXVbBXzJ2Qo3yvTA
l537ZJR9mwalO/eXUibZMzeGPrC7Ip3PSNivfnqm4Hc3tfucaL27ZnG7r2Bdosqdy/Fx2S186YbE
J9N/LM8rB+sKpUxEWkrp2oXVwP4k+TROKu6lIieApjL+yCLp7SxfaBB9J+umKbL0qsKk/ywMM5V7
GAScysEZas63rgEJC13UDAT6qgCumpdAaC3NZ4sbe+K0s/Gx6Abji9QcpHHkqmJhCkfEaCpVvDFP
zdFPZKSRuUqssbpEkG3OG5FLNHApgngQ0uYi76NeDAaqGB+FpqKfVbY8IKcoWey4l24eVO+hdbfG
8QfIbBlvMRUA5Yx9a75QCgTMOuptPdrzdNy5c3xHrwZUo1xXMe+jE/y7RDeyh8IkoHnjJXr0MzSx
YgUTSUYTMfFRnwQ4AfClCc1S56omgpi4ZfM5SqbwxlPRVAVLSfGW9ZV5bIhSJPtu3hHiIDFs8CEj
bg9AOE0Uqp4mGwNAijgH4TbxU7e9j+Z2k5PBcD5Zdg3UyXA7KAV6dRfKyHlVGDfQY1kN8slRD/qu
eE20/IZi9jStYSHroOVAea0iSxR7Xbf8Gy8346/ScPtdBY3oy+QmJF/1UTbjBWl1aKtaWEPh7WW4
R11oXre6XV06Se3exWkb70tjfAPjAIM4V+nT6Ml0w4VEHQiz8J/rxnK+hErHBmIXZvOlQ0e6ZATn
Twlx3vHeMye+UNgoZzNaennpGI324kO51c5E7nBD0/VluVainItNFVneVVXSUUVmTzoGACv9rhD6
ejeVrfiaAziTNSHh8puJsv4mTnLywiIrT8GWsQ2JN9BI5wD5DFyhCDL6DRcaKClztJ75BkmjF50L
MM7Nqu+sNN26mZeSYGkN3s5zFgOYkHo3wpQtBKI90Xsu4Gp73rBlareOp2lULPxxp/uI9K9CB8jw
g0r7kAJcjYzVJybmFpFFz09MbUxnIGElGJTK2KQliaOrwUoj2OAG+FtZO9b3dh5zpJNp1aEEbnRr
vANZT1R2hSqw7PPZX3PE1L9w+gauSBj8bp5t3HCZF2hOT1x5byf2JmXv++CioCOLGyFSwd+H7vZR
YDy4o0Jeb2wn/GUr14mfoA7J+KKOB80N6H1hdMvVYwEqdbDMl6ovl8EwhqhBOap6O5YNxiWSdzu6
V+VikvPcpFNoXisTzpLHTJGVbjKuI4NhukUKmzjrcPRw7GH+6bJADFn0E7gxCm2bfZi3nYnUNwCz
ZVqGf5OFfr+4BvIzkiCcfeGJ4rKvvA3lp2dNVASVT134OrhRR1yw6PZOUt2JfvYCFLHfEqC262iM
N6luk+KaWq9VzxQf+nP5M0adtJJmmFzZcZVeq6E4c7Qm3wz99LWPvS+T5p630r2eku5cFjqerPyy
iL2fXtQ8aHp6WZntnT/AJHbjalyZI0ezUavuchLsVuQ/3DUjNKF6fgoj8zWTBFehU9qM0XjHm3a3
RjSlQaI7xWM3WPZTo8HD5DsNyOrrCnXnPK3x3cENE/LBM4utIsMiaOvs1R39C28U5J9HxUZzrWdn
8u97Bw9Dbtw7nf7FbY1mJYzurBLiBhHzBTTdm1zLd21dfsMWfZXEwxXJJj8iYVw6PlBcMt1Jg8fQ
745i24fTveD7u7ZM+Uf9Dffo66HpL/NqjG9bw9+Gs/e9NFiQGpTsKyMzf8Bm3tVWWp8n9ZSymFDP
ngmfYgQM7bou80vN5z1q1mtmp9/KJlt3kfeg99SlfeNR4XsI2AJkqw7qEsShfh8a6tmrcI5gVl20
gYjMMecCY0gKgLOsO0ise5/EjsQgY63S21e3g0QmNKcOOm8YV57hJRed7yPdzvyfFY7ps6rRvnLH
xoLQUplASkgqf0Wy9W9l82Xsz197O5/vM2tYcLjLgmexelALoheXLIIetlmk0w0INYuVEVcdLFNp
ze596PXTk6lScSZmUNtF32ULSa5MqrNutAAjevFtzBje2lHkf4tLqyUHHc494ee/IklAO+eV+Snq
vWg7uMlPZ7bqbdsVxlndAzoNdITcZxDFcRLbMnzDMUApPXEH0gMG9zqvB20jmO/L9RAjzU1Mdiuo
qIYtsX2XuWfLfZVFNeCw7Mfom3vNG79qSZtsXT+KORUn7R3uqruS+fjMatJfmtSGNb/ARGva/fCq
pAxwFObbIuvszRBlIycNyAGQlgwCnif/ZQSzuMrqYUS5XJV7NekyqEnb/xGl0g3y2bo0h+JCayHs
1rr9ECLy2Beif0Hvn+NrQGHDcp7rt/3o9FS/bYIG+/sobsCuJyIYYqu77sMY+jw6vnU1tfukJpMq
bY373M7OUoMpPCOoh4CqRKxzCBtnFbs4dAPjWW2G6ZYRTl4uotvzzqkvwZdda0n/NcuTn8LEdBXh
6DsDnP0gsvrRiKdNMZTWymhSvwscvrPCPtd9hRxunDN1ODuDmOuVOWWvkWv9qIcWx7Zff3OltvN4
vFWssEGxV2Tat8b7YtLC21FX/a5o0LmZC9HK6Um37BSw8NTY49/hD0ndkpeVmodNlfe/Ij3fFTKT
D7DqAVXpCI4hK704sFP2Tl7B1Ch0e916Mt4UHTIkadv5sIpnWQaJKvcsUz+GMf3BliifNtncX5le
Vmx0L/HPsBA2NxEAzGtQkSOkI0norCxGpmiuLYOZb7Ajw+3r2ODxQicjX1BIuA+a+Nn7brExNW/a
YwG6DGPrhdQpsoi72Q9SpRVXA3uloKwSa2V7Eom0YjYRPjwVz3k2tYwctmi+y6qoWndQmxv1/9g7
k+W6kS3L/kvO8Qx9M8jJBW5LihQlSmwmMDUUAEfjcPTA39S31I/VAl9kpXhJE005K7OaRFiETHSi
8+acvdfOQApPs71VjoOt1XFw2hTtlfT9A1NMthkD+7MZT9e4EWsq5eqT7BLraGue3EIpIVONPDBC
oXCNx+1nGadHTg7OFzh2O93qD+mwwFUv/ZAtG/758lTNzrdhNJ7cJblgggb3CyGG2jgzJUHgUt/A
WEt3cydIfEJXRkVd3ygkUhEnTITm8XSvTS3NqwEFvCXq/uj6VryRQXdRzoux8ZbYO+ZTe221pHHw
hkeJtR73h/3sy71mLA+t11qbALvLU6ccY+uu5qul6B58cyxuvE48ca+uAl5QQcZonal8BzBSrZhR
YFqEfVMXFyIsZP0UmN1V0PS7MpsvcPV9ras528CIGwBxVfDQcWGRkH1vps3PkpyPXTCZ5D9iTSLG
jt/HcuJdVXjZqTaDx4SQwH2Xx5ezRsQUSWRPPtjPaFmxkXVpm3DgKP+UTn6bFS02VQu/pkNMBoeO
GCXvolj3xa9Ys3/G5XJPtW2L23L5YrrFNvXUNm082hylZ+6Wcir2WpHz+hus8InT70WVHq0FIzSG
9PiCUDOcbnmybISOa3tQq+ultpytMvsPbIKSCzdBDi574oAWLV4iPWsPuTvLDc3nr6AE0fFIiB99
5Vgb19buCqmcfValOiHdmGK49ebeUXoQFiN7WLJ/gitMpQ1HtHVWhwFK8JrXRTGF67CZ13iZyXMv
S45DB5Ju5eXcLi6/Vo0tA3PYway1ODQ6BwImKVv7BRspf1cZJ7JC82ji8HIsTWegZTgeDY+gW1Gs
r2M+J/dzN8pdVgywQnJ7a/dQgmarRLFsmiEhSDPO/fiqJJg0tCcPn7AvvWhxzf4GEwb/WS5eaCek
wNM/ynca+6GDt8ivvLvlbl40GA1Vy3ozGOKCCa/YZ7a4XwrkOv0Ima3s2MDhMfRY43H/sqmeQuKE
5HYQaf0xyxo3UloWkf+tf5tIn1whinGkjH6fmMzUnG97wpzmUOOWbQlqeqqK5coO2mYHZOOOKdjY
eaat7YRTOzuUZPGpzGWxWxqep98Z9VbmabNpDQyr6PvZO8XTDejvy0VaQHfbBXtcDcKFOdXdJJXb
UEslq3XOs/SmGLr8EmRfwM5egyKVDNPWWfJTsqKegM0wEyOP+NFTDdvMGDQdY/XUTnYZeiQT7Hpe
zITQcBqXA5viQUJwgVR1sM36etDmBnFlpXuRO/FhN5ibo1nHvC8abNTsPOKrpeYS3FLf6qbeftHJ
GzokPoOS9ffDYvE59Qqz/iRHLwz0ytzW+VyT8KuJ/Yhx5WLqUb/AV/mEWZNtehwbu8EujKvBGS4Q
OmTwRZpHK2PHknrUrLFv3ddSin0/JOaX1MtM9A/k5GZaou+XIRkvrGB+WMxmZ9NFD5s0nT+xw1me
BB340MiGYjdhwvzAh3RlJW0OF0P3dplYJrq3U8FC2mqnLkX/aLTtj3EyihPNha/VbANDF5AKRggR
X51MEOuuMrnPGieCaZYSHZ9w6Myxui4drn+c19+ATj3WVSPDVAWhInmFMsr4lJJUsnFFg43LMh8W
Y65ZeBef08dsR6bZY6w25/4jgfXNfimW+uDhNtrapT+wUUa5JgMXX4JoMYZ5q8svWL+Rarlxiukx
71mEO5KOIojB/cZrWO/hKW1hfcaHarKba6/BSq8ZkqVfN3Cc6eZ28jpvY4J/2fZ8ipnwrB3mRm/b
pVi+iNQrbwbhqL0kTRb/lap/4U0xwiYegp3qzJH3JvkJmZI42N55iEfTfkQ5/F253s+mMd2dVaX2
D9MetLu8bApypGD2bwJqn2NG7lQNu2CjYrglWecakZcRlszTNnHUxvw/g4Ok1O38ukoVRfa41djC
52XBSSW49Oy5/8aJFV+lXyY3uRrTfZfgByXSYWLzJNuobhS7KqpvFJOC9JKkTuPG07VvWeBdOCp3
Pnl+e5y43N1A8OTeLcQDiLvVUx/PnwObVdttxjZCCckiJyjOOJP9Pe4WFnJ83NtAgNVR2ohBnIDj
BcGz5JhFVao1wSx07NNlh2rGmwY+InmpeYJNHfOJkRQV+yP9lsreZVU3wX2ZqGuzS7Fl5JwYt1VZ
G7exqhdy3daU6ClfdLb1hDhRFSoImF3yOvnUOsJfbkbIEB1wmqEmGzJV8SEpRfC9qaaYM2dTN0KP
mlolzYEZS7WXNX7ODRGJ89bWYyv0Ah7HMipqOH4BXPSQV7Xbalu6XVYLhwdc0IUvOs78deUlNqms
2gCbv9ZDbkpCagbclTaSk2fH7VdqIt6anuka05WRIc/YKjpDdZRoJRXFevQmchsXaCx8mG3cfemt
oDUjVwx72C6qjKzGcZmQU2KnotFqsvFjUjZZvulYxy/IkRxKqkEzUAMEK3UcLpphD8BEy2AnJXDK
aE56oDHsxV1m2qxrgst6qUC/9WUaNBF+9WnnSJzzPfCMeUOnI6eeEjtEeOdDV19K4WYcXbmw7dQ6
2UKFzQJOpKs8eVCDUOBmB0tPo4mf2oBJCmaAbyopsLp2Sl3FvZl3+2BudXk5YfkXX6xYkdwcdGN2
gJ/uf8DubsTM33VfRB3rpTgGRUy1j525uNXdwfmhiKjrw9ymEratADEBO1JEWG+ZIeutWxkGUNgh
Po5GMt+VxJzzIU4z5TScVQNgPzwF3n60Sh/bITUASdFOMLV7fWd7fFJVfa1Xc0FOu5mIvUO7Vh7Q
YiB9TAgIdo8UxLJIiDEC7WDssT/H7ikfUN7Q6nJydztU8dREmKPWYOe6qPWtlU7ESvNQtlIN4Hkw
sFyQeRa6aMT03j95stcPzTSgHXLlnFwadT0/ioQy7r5J9fnUZjAiIt7ofo8r+4fviGMN7WkS1EKk
O/PiO7vYcvd6V342teqkDfTohXOTdOZXYpF/NmN6aEiVZTN1qc/+SWR1tmlaljqjKvaeGB6lLI+q
HKN+Kr65sr3zK/eO2fyz5bCgaYskydlZIq0ge7YV5RyiKw+1GHnygBV4kI+UCz85Q3aJCWDn9z/o
Izyms/ejNeZTA8fi6DT+oB+0yZKXRW006jjLmkzsAbqyX6v0Yzc2gX4xKqLXbh2kMxKxfajL9tPk
9ezCu6G4z8uMtwKeN54N3s4cZ/xm8UhpjlgeMgfsQJc67k26oLMKl94lqXHE9bWriamtb3Vjdj8q
jRcsqrjH6RE2GH+nHLvRCjU2auILRqLvpUjmz8JLu19DDyHx5NSCDfDYamjvm1TdUS4Zf9R266gw
nUixpJnJt7cZue70MA45mXYjYc36ITDgK4Xj0tBX6TprurMJavS2ZE4Td10Y03LZcc3ZLidH2zzN
wayJg8IpMcJxQgSDVxTq5t4jaZI976ldmIc37CdpidF27DuwBZR+dzP1cBIyiiz5Zso09nlKFu0B
pZIy+aClho613Z05lzZDQOSvHev6T0H2Kx9IbBjpl04U+bFnbtUujdJAG6ZY0/L9c8/5r3phH7If
9IDkr+68p/WiK/b/ch8MTftvrfi10/ZPB+3qW0kH7bc+2MsG2PPf++8GmInQcZWOm9ZqoUO0Nj61
3X/+h+Ya/8LeQNMJTZFOD9pHafZfDTDvX6stlBbuGnyBfPi3/pfh/0tHQR1wgLVc1Fy28Tf9L9Qj
tLd+V4YhNTQYgdYpimxcI2eiI2tK+JyF9MPFp/myH8C4wS0IkvYGc73jHkw99m3CpJfkoae5QzJZ
aVXjJphsfY4WuCL0decqXSK/kpofDY2eXlZYcmU0egMumji2sm9jbZZuhG96yfe11Ipig5xhck6D
qYoUZePSHamnkRII1rn9oYiRJwxxoBp4dJnab5nXq48tJ7tt2wLn3ASyjL9T9ksPwFiMx7xLgi/I
3lhjfHc0FfyBAuyIw0n5CArSKyDnzdZuknnP+R7wphnW1aA9tMUQHAIWLlKux1UCjqSteYiNerpN
xl7+Mn2t/TjX+Yimp54B3HSgxG9Ib08zTpFB/qFeEjgQgUsnOGriRnE+MALJiVTl2lpXt+ojPnz9
V5xNtJ9GS68+eWR3y3BWM1klhGozJ04JmwRICqZ7A8SwE5HQqApHDnk5lJysQSRRmokUMoxbzdAt
6rqOcgz2t8Js0nLfIWEfQpkzzSdZb98FI3LN7dQQanly2mlw8atP1AFHbXaOmvLm6xFBT7Pz6mH+
2sxBfg+9bqBJMyfJZ+UZ053oSL7fMPcP34OAE/amxXBxTcQ1TOREOlCuiFqZGsBZLn/IqaipKYl0
LjDIRU++Fvag0qhVuU2QgNkGn+lFeTobNasgC9wfTDuMS3dRodVSpwvTvNV4Vt6U3taQqn4pI+2n
UNBlGjZFrln8VC1of6VZSWWvterhSkGbU6APMtbJwBPxdyNRwOmEZdTlrlN1d81LEKhd1idIOcBu
9MvWhwsEkWJSIFRqf5V4D50UJG/GKfJrtiEdUvZeLPVu0rPkOnBkbe+aTODNbNx0hihQmSVd2Lj0
QprF9bydAQB/rozUvAsQVDySBFy3FDeCEpgMz4iwlCaz1o+gT0DbkWZ+F/sKmsnAbin40I6CLFjJ
fvfnMJW9E8VdYwhihckI51A+KtgO7KuIiJ+66UIYZctLbKZDtxtrr6FPSpATnA0r4ETDMuqm+1hO
5pNbKuFuO1PaP8DE+J9zZN+3IIGGB2PKpRc2SWN8QLdLac9On2yjZiG2+2vhr5nJqc+BsqhlZDa1
n25HO1d3bVlS8JoIT/bBgGdzDixkbm7tOUtJol3KIgtVLOMHmHTZnWrb8XJKjC+C3eXJm/3qHi5n
cJNmk6Lz2c7jJzZPzbcEKAsTA2QhPhKi5m80q5EjtJe+Jyad8NeCPeuMVIbnn7BJZYr83uYVXx2B
9ax0We/nY4hmcyyonKX1z0IXgdgkmhFcpiKGGlk3o87mjS1DsS+8OPY3sXC8a6A+GT2yugpEqGdx
LPaTl9I0teVS8i7VAka/nvj8rCUVaEtbyOv8XApecJiewVRF7uhH2QTzV+kNMYG/ZuPvU5qsn+ze
V7guMPpu1Kw3lH59IyvDecaD3vB/jEiUtcp2g9KCWz2lURBx0qyfFp2wCHRU0ghCj2T2H54RTxdB
No7dVnen6g6MfxFHEvVp8VEbF493xU6d71h7jXTvK/oeFMWgbe3aBF02oG2/0w+4mEV1zPylY7dn
UrGPf9lWNgpKylTPOnioekeOc3GVLzSY+wvInIlTRqQoCoojm1pH7exHiSpgjaHEiLkQfHf3nKqL
OYzTOE4ic+TQyoHUEc2F7mXgixc9Do4Qazwqv+tMFrpBGf80R45ZYePPhbnL4YThdlj6Gl5UkU72
hQsCqQ9nndkuIjDYB95l606Ix5VSuh1rKx/SzfHu0+cD4aUWfdyjjZiKDadLj5O5nVZflwBNHzO7
3xdbnMZrobLI81sOE+2DT7HG2wwU+T3OBm1zZ2jtUoQ+pY+nHltNHlq1V5rhaLVef1n5tlz7QFOe
49F0ESOAD5UKFFnuJJdFYSQi0mUCzwRbs0sUckZ5AU2k5YmojNHAUjAWFodmOZrZ1oEAfDtpHCgi
szP04Ti3VscLZVTV/WJBfzjhPIKDmkJOQnPgNd3GI4Sli2wwre3eK1XjhWWW12tWLz1dqEKygblE
9bUIJf082GmmS/9VcHtUqHmFBWuQkx/nU2/qP5VFt141PFNQXFOj3J3ncQmbwqiQEiSzBXYUqI9q
kBiVpREh65dEgxJle4+GsAU3ouL5amzK2IiAAGjpZmmRPW8soiTGUCu7BaUV/pFjT9C2Da6TG7S1
nSk2cJck8F887t9EEnAf5ZiYtPRiCVK0G/5YdUchcxg1zeJSpI9zc1W1BNSdtskAkAuSmSebyHP7
5KfQhrzlpGtB+2r7nikZewT/pI9bfOI9mb43pkHDX7bpHTyc8nM5Jo7csTNOPjlzQDnEIMDhiaKK
528aM6ZXYRms23BRKalrTLGIHvo2TkFh2TlVJRWLu1ib/HazTiBMQPZkUuKscF9TOe+Gz6NtLkS0
Z7F54w9DH4R5LYpqN8qxZHZaTOdkpGJs92JE0R0WTmPcCAfumClBd26cGcJT5NcVOY2TA/FJEwbE
ptqDnMRvjl4eBiDdSH1wAPE1vaAi3bpDc89Ky7O2WQ+Jzo5j/hASrf9BND5MqXyZxDddWErtxUQh
EGRcCc0MZZZ/pSZBJQ8IQPmhlMij+x1h7KyEsz60X1LNzL+6s21deGpcskPvVvG3Cg5CRTnYMK/k
bJvX+qQ7zd5vcBeHczV3V8vYyTnspKNDZa4ke6wmrhNzY8Gs5dHIsryvfEM9QXGznmyGCzax9FFJ
xfHYXxeCfYc1DsHdMrWzTXsn6e5gjvi/lB/UvzwtMy4n0/G1XbHQbWRmSPSrrOr9C2I26lulpeDX
SKQoWpy0glbnknD0b9nmUi3LLflEemTza+CchKBrag3QzWlRfM9kzvegL2tksVHxVuDzjQF8NaXL
Hex0pclvo9t5p9KAPrXtNGSSfJGVd5+0qujp4DTtd3cEW3xIlrx88GkuX42ykXSxbJuqZGk09g8j
0GgZtkVAmYkCvGlt/cGybiF40rZ0ahpmLN+G92VKQaVvHLdz6q/8oX6RoG33NhNdqCu79oY6dM2V
Z0vEW/UrYWaijdTVU3Cl9cJIv3H0n08K7/USecssALlhZNaiVrLRisZx7cXXRmsapLKMwGQqyvA/
88lis5bSYT/VTmEAnYxV8LE1a+tjnRLHFGE0sp8Wm7LDBrLD+N2sFPYDkQv3YmidHtVvILOv41wz
xXBwdj7gnhqJiMcQuPWw5qbbXl+hcsVQ24Bf84oTvrOQ4KZRQempmk3ard026rONHEyE6MvLeo+3
L7vMSWd/aJx+uWcmlleVnk3WQVBr2VHV7Fb2dgF8MRMQZQWuCDuhP7D0TiEAwcWLLIYT1T5sVZGM
qTfn0ZpJoREe1FRB7d/RhvKrEOPn9IuuT/4wUYmF6czOqQ0bzawRAmlNR/mVlWnaDFa+CtCmlM9N
zzvHpdI8+B+ocuuQqykijh9QgAOjrqZVJ5QnK71t6HvmLcuTEAiZWFNeWubjnT9aSGNEbzX3Upjj
01itb5yX2zkd/5XjhopcKy49GWcXwhfMjt6YU3YU/DSECy2VAKhaEOkqb9AuvFpn5vPwNnyzUxsk
m2UydJO38BCTgTbFdUPJHLhImULm4zfLExQGqQVB0p2N8dA0Fi1LVFXTHTuz8luJl6retZavfdLK
OqZM1kCptPUxvktLm6XC7JMgQFNh1SJCLtbCQkWYqVGEoF0TGoMsvBC4dflZQW0kSDQrTc5RidW1
W1hl1sME3RmBmlqgrvp+2857i5LIhxF7Bm3KliYU5se+SaMiVvnDXOuNHtbgrIsQBQx7l3QZ8ocW
tSgYSTXiEracnAujskn9cawp6IWjYxof42C0/V23xIEfqTR1HmG/NOPeogmTf2iy1r2x4oDNpBAI
2yqndK9YZ/XrmZ7h7eJPiBjYhm/o4qDOiwMBSEeXPbe+zGMOQ7RroVGta+fP0tW0hqVOb26DLkmf
CD7Sbyu7gBZZZQDJmLbt4SdLs08dTS3eTVtT1A6ntLd/FCA401DyhfwYa/bxyEgzu94Mnpj1D4k3
Zp+A1PbshPuM6l3JyXCvAUxOyb2EEXykPrXsktqjYpzB2jS2Va2PakO7qKctkyyLfzHNGC93Pt22
lDlb86Bpyky/BjeJ0bJaJQXuECx25CTZxGbDHvmmVANEcJOhqrzrOo7SGwMorxUpcLw0yA3rse3t
SoW21DVsNcOQPGT4bzyenq5aYOJqak50yXsUPNJjMoKo+BjYsaPBoMQDurFnHz95C7WkuZgywTka
unSQsqVR9EtJ+ILoOE7WzCbBD5aRWw6Xc4iyERtkaOt0jzmBtitWkDJcEelqkfMejgPkwdayWViW
lI+L6mxlXUxU/7VTsLCEb7p8ofqbuRPAe8MbeLyYGcWFXZVpz/S/mJfQZGNjX5iOdaH1HjwLaQn9
W+EjV6Hp3Q5opLJsqY45N+0fg/j/r6H9UyQ7/vzP/zAdoBp/qqF9/Nb87//1onr277/xT/XMdtF6
W6B2dMcwEbRZlMj+qZ4hH1/tkkQMWbrrrobZ/1s9M//FgZAiHM48CG62v6JW/ks9HvzLp0ZjYI1w
+PdqPv4vJf3HfxfFEOFTwEye5D///XvI/ZnvgJwTNq3mGghpuiByvDOvzwCrMlnb5sjLEEnNHZoL
mErd9rc78sYoZ46if49iUUW0MYiCHTwr0Mm4reEtl+0GCmWwjXvN2TTVVDwm6Csicmq0d2Bmr68K
IxZ3z9cxBeI548b+rocvDI6YweQ3m74JgNb64wQlYjA2f76qt0YhUBfnO3YVHtPZVRm9n4lGZ33l
AGfeAYYoj+xtlujPo7y+d46OW45cRh9uAeyAl9fSgBVKO4/t8pTbqRemAeo0mGmOQxZqMMM4N2ie
3v55zPWp/1ZQ5Xkhr139XzpBSdBkeft+v39BZam6JGsDbWBlnnRNkQeBLAb7ku++c3lvDIXdBZME
n8YKyjkz+9C81iXSMIZiv7Vhjlp2NXRhWrZl8Y7H5o076eLHIOqV28hjO3srnNqtfK0q0dRmrTgS
e+EeXEd0l2Doguuxkd6/7TZ/8W1BCvltvLO7OHeINN2B8ZrKQAxQGnGtbcXgZu+M89YtZH8AXdNk
OBgaL58WorBlzqSjIGiodAgJ4xVz1GX98gg/XL0z2Fs38ZnlqeOnAAF0NlhAcY+j2sySPZt51A+N
eZW6QBAc259Rmvx9OK/vrP0D8qX4zojyWz/C36wtg92jRc0QtRlFjxAvEOY26zhiJPhk//57dkFY
ksJEPwFK2auhMo0YXoOhUmJx7SZ2dpiPknde+PUGnX1bL0ZZn+bvF7R4ddMiWuRMIa/T1Ev2fj6r
r3j77Mu1XvkVPdL9X3/OL4Zcn+lvQxqa4+TaxKZ5pqQedWbhXrViIZgGmvXtn4da79GrqyP12scp
t8arnX3OdErTZtHQQ9V4PT7mskZ+6BMK+D8YhZedjwvNNR7BlxcUO7Gt0oDKh2wJ/rEm6e6yQbr7
P4/y1quO6JGFeV1tCSJ9OQrpYoiKlUt9pYH3FvpESJ4Kt4x/lXWb3gbMV907H9dbXzK3jumQMDX3
VWal0MiEy1w8j/T83T3p6A+0tL+TEeVt/3xpbz0mSGE6wAYXI9S5YQx3LLltVOqJ2MIRAUzbj1Bu
de98UOfoDdYR9EIrKo4mIAvJOYwm1fysL5yKcrLVWMBorDF0KEtv6f8kbOWltSG5aB8T8wVwpyP9
hpM6/XPdfi9B7vX1YpkmA91kO+euy9vLR8mRTh+GgVXGwF3iIg0nJuiYWn35Hg7HWCf1lx8AI7Hh
08GaOg6mspcjTW3ipwYRxxtae/lJx7m1U6q2buXQfEhcbTo1ANO2AF0MJLmkCkG14fTvhZ3RBcee
FOR3tkKvp5vVgcgXuabM6hCBXv4+48z+SBsmNEA6x3gkXEEJcL4bE4xnemLWOFoH91Pbd+V7VJA3
R8aWyO4VAy0bipcjz0MdLIli1hlTnIl9UlCgxh0F4imh7vIgxfheYubrp8y1/jbi2Qc7mxYHYIO1
CUWHHzZS5CFn0Sr822+HUXjA3DjXA3RxNopPMc1iR4lqeqb6ptFFDgcbM9afR3k9+TCKi+/Uxw3t
As18efcqSR5w68HHzJPA/UTZUW2tldap9wVC+KxZdn8e762nxSu7njkcvpNXgM5cLnDqWZZcMdqE
rihfuzBjHdGbX7YfzGEOugjrZ/seafW9cf2X10lxfFJK2mpDsba5EKOUR5I1lg9EFjUXPaxtFMbC
eGf6e+vmrrtNcuLZwBMB+nLQqfZLhQuHm5sZzj15FFO/NYMBXWsVEH6SwrK9+/PtfT2zBysxDo8+
MADi1c9WrJ7omcppE9RFcVtFrlJNBMV22GgVXo0/D/XGV+AAy+XlcSC9As16eXH0rJd8dKnJzCO9
JD1fsEPhA3pnM/3WKCuXlyOoj/bDPp9XEtNtJ5f5g05OjBAr83IXcn2zzH//rJzfBzqbuquZRolt
IjzWvJpiWE7fOxfeDcq+1UDzHiF3vTkvp+/1XA0rlrcDY69x9pz4jvHXpQt9W4x3p9TXyj0dbv0k
S8ff1p5LL2xEr7UpZ9QW73zyb3wKMFhskwQllwP5eR64l09oSzpW/0Xrgs+Fcsxr8g+xHpmOomHr
LgI4d/weEe+NN3MN3WWFYBvAe2O+fF04k7idZVCDcwy8ebUVkLJiCGTZOvrJP7+Zb13g81kZ0Q0Q
vnOWgl+3c2snNRuqVA4Xbq/6I0Zj55TZgXnoYo/kpkK1fx1+jgZpFSKZbERIxThH9yCQM5euY1Sr
p9SKwS7z10jF9uRIq7+a1myPyscapfBuvvNEX30k66LLPo4M4WeF0tmnSAhHVSvFjJIgKNyYemXt
qMUMfx1Xi+cHWAYEHyhPr+aWJqYjMi68s0vWGTgO0IDQ6sRdSle4egfC9dYVMbuw/fRX+OY5NpfY
a+AXdYc9jtAM5N+9tjwOxBe9R/p/9VZy51aCGY+MygAnwJdvZbaI2h/pZPBW5nPU1rN9gRceOejU
t++sfG8N5fH+I4h+XmjPhupWsRG9PoZSiKIpe2hRvczEUurz4c/v/1s3j70Qn4DhsG84X2NV6SMj
MVHNN7aO31Njr5uOqdr+9SjrMsPnxc3TV7jEi9Nem3hpQHY3U5hD90V325XUgD3gz6O8cdfYUK/1
PMaAd3Q2bcwGan3RIrYlz4bNJRPVFoe9uIlVsjz8D4Zap4vAYZKiLvXygjyzVKmW5GtoaB/vupwY
whxNWUhJ5B2C9xsPCGLHf490ti+o5Kxi+pD1JnCHr5hurC2m4Pqd9239IS+WGDoLlCcZBtEkaRJn
d87A5FFKWFHo76R+qcSkwC2M8hjg+Fo2cpym/Z/vn7H+xFcjot6ECorsEj7vyxu4qEIUkAdBVSQB
NxB5WjRVVU6TaMB0kjpxisNkSLYIloM9GTnmL23WTq1T1bvUGvNPf/513rrJPMg1nYX6LGiVl79N
UhVl78e8OcikUW/XGulofvX094OgWTVXrh7V0/ObTOAgus7akZspa0z6/aNAktwSE/aXvFWKsuwV
ApuyEUSklQbz8mpiO4e2PvNyVgLfGXxSd0Pk+g6S/aHqtPmdr+6tewcSnZcHTjXIp7O5qp9aQMCD
xD/aOfFFPszqWDOLRn9/83wKHghvWLfc88K2VyDPmxNmRNGWzaXs03I7OVb2tztIoKb0N4D/cuyg
mHN25zAwaDnEmHWf6qVXBfZYTF70/P76WhiFWiWrFocpa92T/Fb78pdB67T13c8zC+nIPOHZjiv/
nTn3daVjvRiiTBwkyHDGnssCvw2DGBQZSenBaO3j7FKbfWtnqOIkR4d4an248kfnUw0IZqtSL76g
3n1yg7p+Z315tb/il4AsbNEmWLMAzg8Zi4Kx0iW4ixd3MI1tN6Vt9RGNsj5cOv2IpWAagyI7IrtH
wPrn2/zGpMYm3afVAiOLbdbZokMMnEOMakCieimsPEx1gizHOru07MQOESbxzz8P+MaXwOLD7LEi
/rjp51+C6U0lYj3mtFXKPLYWcuByee9LeL3KGTxSKmS8QasC/uw4QM05mRqPx+qmWYJv1ZPHuVq8
Iy3b96i5r+8gQ/kA1nB1Iz+wz1Y55koc1A53UOYO2qpZ4lZE55MaXwJk4z9TYrrid77z9bd/uS6s
qSocf2Gb0aI8B3ynuXKmRFnw+6tSi+xAOV9VPy7fVe8VkWFU5nfKIBPYFEseysZsH//8CF+/rtDk
2BjAxgOhRQfy5adZVooMd0TqGx3+fVTgOiSr6tGpKFApkoQ3vf3ervL1S7OOyKGVbhpV1vNzfztm
IjMNzGAV4j+EFX1/4FN5D7/7xktD9C37STZhz2Sul9dFRIwHHgZTgYYgBEJGPndhEBvpLeBLS7zz
HfjP55ffnyLFNZ/WMm1iNjyQAM9uozGQKdJaJEXapV1oh57p+gmXjbZqhUT7eULRamymwJyD7Tz5
c31JZjwsDLb3kKHolEkVLcjx0Hzz/ZSE6Qrzkt6fNqA48FA3EMsnhyP0qSLfjzH9ztPoY7Hb+VY7
y8Oa5k6mpMhj68RLPSeneBzb4kgYkiEjrzOS9IC1L3UOazOp37cq6KuPqV20GAvyOPcIJgbkQwxt
2vjRpGLjoWbxycOmIA4hbEfpZ2gE1/TU3CXX+xPWN6yont9i72gRoRWRL5PEwG0Hxii+8MeYtFK/
zKd5dcEJ0gfxg/wsq5hkPXP02Ovo+BuXk432f02aHJDPKp4mxjemtiHy2ryDj9Wu6ilhErqa+BNK
RrdNyLCFfcnxYKaunYGfkE2DsW8QzaFojXzao7JOEuiESBXDxkRfuRn7nj0APEUd/5sLOYRfAVbS
nojlyY2C0RJlKElEfyLUHqHRUpKw1Nfs5CI7LQ19Q3Jeh+82XsZyT3vM5BGiHAF9MsrMRfMf2EOo
pRQydgOFQYBQQ5Alp96bPIc97EhkrT4uMfSXnvBTuE6LJlHZNIkP6KgmqzsfF9fdrgLmEpWJBebQ
5NuX236Qmb8xy7LBQb4hXRex+/IclLs8h+bazwG6kKqAAiQaUP01bZ2Q3QL2gLeJV60OZNKmEhh6
W4S+PpK+4aDWrF78g1C0rOcIX0MaI3G+adINEQfo7NiPkzZfEmHK3WnB2KEdrWYUvoFfZXeZIim4
HO0O/7UolnmXPYcJY+eNv3VB6SF6lllfRuI5ejglCOUkkNL/8tTcfJnXjOJ0QY6OqXeNLkbl6eHk
zQOIYtBN1LZDGfkD5yo+SsqyxaPrzJzcZWUGV0tuyKu88FNrPzfWUoJd78oiROqH9qhg2ecg5/jV
aXmOW4ackT70zyHMQ08e8+yL4n7EcIg0m7Tm8jm4OX0OcUboPnEEWKOd/w9755Ucu5FG6RVBASBh
X4GyLHpPviB4aWASLuGBPc0qZmPzoSTFSOrpmOiYx+nQixx5ySpU5m/O+Y5C23ZrMWGtNp4REf6M
fSB7lpXvzpvcJh0a4MFAlCm8IPDNa360cAWWw2pNlSbuccaGeQ6b7s7B07VPLNe2WgbMGPY5nHoo
yH0nq5jM6glo14+9DDrsC6Aul9E53rpJpgx/RebCexnFWMidbZCGjUcZ87zs1pBs5NLlHitNmTwM
xhqj7WatmeIOXOO12dWKn9QvGFkh1Efaq1Wqh/Phrkg2PBrtfX6O66b5Me8cO1YvqUCmGPTw/lHe
G0ZRb1WMEWCD0xeagp5pRIHzSckBaqCquxRrVnjZecSGp7qGrF/LNONqEqX+LRcE2YFamqZ5dSA2
Th9U4nZxSqKsi3dTYabjhVYUqr7UbOkjY5Zpri6NrLKjW2WRLXAZ6139uljGnDzHpa/gb3Vgkx9M
VRbDjnfIc+8UclXzYEW1hNatl6Nz0aVaQ9QsnxN7k+tOtJzKwTSnjcKB1l80lW+PG7IMSffF0sHv
hx3EiY0jl87U7Bt9iZ2dVG4S7ZVWRCgho1HfSCyj0UYX8JJ2bg4xL2wRSLIpQu/m/+oR/eKk537U
4kNkQGm4I0HQtC60jGp950cW7plp6svl6MOcqm+J0C6c1/VBEN+pNeAT4n1pzCwO9HrUpztJgVi+
4LWQ2UM5o3K84AawmPNbU5TL5yjGiwEwxMdBNQQq43KDoGE38WQcpmqsIyBJo5c1P1HvxcRS21Yu
TukEkRDTqZ5ycipbZvJ29jyQ+pU3yPEGUaaIdqOpEUKvwylp0H0KfqnKtHJIKVbcTOZVGzV1ifm2
QJsOY6d27n5P6uW35SCmWDH9QJlkcaNaTUpq26yrXiwJG2Y3Czkvz7KPYwVK4ywhZ7bHsDGJZX/l
GLh3Hya6DxO9fyNN77KR+iB2hFp5Y9hYftHcLF7L4neQhTZtay+NnBD5eKbCnpbpMRbudKO7Y/0g
InBnDE1B0AdV0TqfjtFSuYyRzRiVPMocnxxCgrdFLHAtYyAFd37nNnNAIY/dg0+gWV7CVx6MjZY4
XkEOvKHdZoz2NZSEPciAOTXxlq3xLi+Jxo5w262t31ZGeXydayq7Thgx6tAKquy1cPMIlDfGtu+J
r15CA4EoE3rHT3h9rCiW9CIK8ZW1im8ZtOTN1dK6OMKHmX45FG7NDpi7urfDQZv8mznDDHgsNcO7
r3Iz1i8g6PVz0Ov+fGMP8PhJUkw4pN1aDt4F5jBYgHOblV9WKSOQgWWpvrI5tm5ikt7RWeIHI4p6
WGwzsMeqeE5K06k3baSq17zJerWDX1o9VJqdigDSMGGxuR/nt4Y7T3AuetCb6JCWlmSL1IiW0M3M
ogrdrpffCE+SOcxybxgp6arOCdMWety7ndctkug5Vtd+VOJcMLW0n7DcuC4yVwrCJ5pd1LGQSMwH
YBLQhWRyprj4scy3Vm9CDBMS/NPgovMHHq3id7TZxLhwqCwnZ5nrN4vGhxzLYo79kDDC5m3xDO0Z
dz/xmc4iAG1E9tJ9DUYnMHuo6WusZfLJCARjoYAQilc0tcIxibUf0Y39LUON/Fc32NANkIRCxagX
MjlnMfifvoaYes9blr7Bclt+NWMlL6BAGminLK/98pep+mT5k4yhNZvkvlD2CMjudgpLENiVwuI/
+eNen233OSUV3tjmvYFfaGorTdvKtPKgNYox5yHp0JduE89DMm9GwtX2REhnj+lY2RYK/8r+1XZ2
H+/KTBCKXvV+iftejFQtXq+wOJlUvu6G/VZ6bUeRMx4sPzWTMAHwBxdPjyUsomVmPcsEHiYZ91Xu
B1i4SPdmIZgP76M+5ziC0tmOQLPOzmjcJiwxeBNJI9WrMGuz+ibKosREnyurIeyiCOBQTlSKu8Gc
hkTW8THuBFbmUv04ZW9+oPcvTrGoFqJa3Bb80mLiotvjiRNJYC5p9q7wcY4bwfwcPC3roJ1tY/vf
5kUh8dzGXrHLrJy/FSrFflKmzvAuMiN+bjADRAcrBqPCByQaT3k/jS/AH/0q9I28vpG545FiaWaI
AzhNnW4nqlanx8OD7xNq02JGSQbHlmiLDXB0CXsne7v0RX1vg+0NssVJvLtCxng+R0fLuqCYXAyb
pMc7t73GC3O03bhmeh0LPw4tI3PfphiXHhgWza6v8Z2ZhyrOCvtYiXyK+HLNGja52xto/um4hoCz
hXuhXVIr33HtaTc4syKi2ZOxvTCgZlrYgZyVbgSoPRAmYfdYS4z4LYmVa2yEhKEL761A6N773Lsb
x03teBOVpXvy88zFAcFgEWaonkx5mCFq/OisIRt3g9+YS5C0ycIGyC/l92wrYFIUivGdmHT3w9KM
XG0RmEbjxmEx/rp0sYUHpbT1bpclaSroAmR3DR0vfh3NxKfgWGL9oZCcx2APZ44qvesHO1RLWfGw
2Y2KAvwc9nMyJS5RYSKzLxuvlHdlhIAwTMQQ3y9uTPVba2o6TUPEDzTkcSZRT3TJy7DUPvyTygJy
iYbIR0GbTOntrEzzfUrJlwVyhs2q00XM8Y0fMw3LaIBUMS6G9dSY+vxO5gLKb+kOApuMr+H7AVSX
G0HUr2fqJEYGKebg65eT56gk/QTrVqM1oDhNgpLoVzo2q+V2XPoIzBDGwfirxNyIXyPxTGhDvEH+
znJKgHpyyMd8wytZ3NMcq0+JO4LRPRHRajfXTtsefDcHjOJ4ZQauqs8EFUvT5PMOTi9rCqedzftF
H2Lah3nqvZ0LuvXIr9X95KZQL8ZCuuFcZViTls6tvvVSX355rYuHGNmeNW1E4jowfbI63lYMoPk0
mqgbuMYnK962aePfGdi3Hs1u4XCg0kitDdJJ+7GZPWqQLjOaDXTd6E6fWzB7IqqKg981RX4FFDZq
wr4etOta0sVCtjLS45z7XnyQs0Pfmc01xSRGGN0J4QYaF5FAsRgUi7U+Gl7n3I7J5D5B/BBuaHZ1
+T3o2fjQV53/UvdlkrCuaYdThq8ihwVkuQ9mWk8/jsx6Lssucu4GavereZxWyJ/Jx7U3tSkJdXqh
J9wUKNQky4C7CUi2ClOAqt9L0i73A4iSFoRvNL+gt+1E6JtyeCDiZnw3C3+cNp6eDkdviRrvghtw
9gIuIhOiCE1jtW+1imtrqTOOoqWTMNa8MsKQb+JueswWmakD7GXm0l2NDBWnqp/hok3TwYNZ2Uev
0Typ+9iKFws99oArf0acS5LUYkZR6DlNuUAvMMGYCmb5TejxUYl5PrNplzeJ/276ZYp1NJlFd5iS
1L9EClYnv3K80c4O1uY6JPDy8h6hMkoj2abYgZjWAcRtoNWOW08xf94isfHtnoU+mw9/Dj02/cPS
h0ANSr1AvCMpx48qcqMvyuFsvNKWvm8OEz6rZi80x1YP1NO+zqKzy5wdSlHLxHOuI2cHRJgccJ9o
80s/9pLpgI+OBpNuwugTbCAWVuNsZ6Udx9pqrS5XDNwYXnnYML/mZyMsYeM0W/nZIKvL1Sy7nI2z
8myiZeyPobY8m2tbpyqdE7YlrlKUsXZ/aZ4tuUSUg+pzV6eufjbt2pWmXvqzlVcWnk8PAz/pjUpb
Ps5jjO03PVuAS7ehPiQDoHh2ziZhlbUz/vmzeViPJGXyfDYVW6gf38ez1dg924771YHsgB3MN/bZ
mGycTcr+2bCcnc3L6mxk7jN3UCFMhOgLwjJW5/x323NWRsflbIb2z8Zo43eTtAFKLKQFFzibVx91
a/YYvaqUbQEXDPc5Xus/rNdJayzCI2u7ds4+ba1aRtk+Af/C0H2eIf7XgvI3Cwpis7+MVv8F44IF
5eN//o9fH393oZy/6A8XirB+Y0nFFkTgvnDYizGz/MOFIrzfCLeAo8bsnjmUWLeHfzJc8K7AxXTZ
UiJHRZSyruHbqu8S2C/eb0JHqrLq29k4oITz/xMfCpnvfx9GI/GwCFAAUo84xEehv85u/7JBkRHP
XJmrHAlI0jzXRp69N0YfP1r9iPndl53WHbE/R89VrTtfcU4+Y2FmVNiijrpTXE/Vj1uX8cVSd0m7
0zPXmLkfDS4/HZJygmk3gqA61+ivA4nKJQ+HyfTwU/Xy1tOm3tokZAky0aib9NdUVowgxx5zM07t
pkq2XWQUIDrnSL0hVIvfWno5Wk83Nzm+mPjhkRZRj0esqppxEwmZ46o1cVOW/bkJxt+Yc/9pDO+8
ql3h/1nCFHKY3PIJbFwPOtPxgA2OAESfPDQckDikbuuBGHr9Xiwz5uAc1splykc7uZ5XeMvGnVLz
Xeejrg6sfqlVEkvLb+c8HZtdG0Wls13MyTwoNZaYEVFqIT0oSXFnHdWpBz0yPBawOMM/fa/wXygS
1QM8fIHDuViwv8+dAanY8hrrgT2MtexVoUuGkiP02KDQ2HHFmpTO0VlDlUy9Gt8KU9UYu0vlXIFo
Sz/o0lEWCT2aoUejl04u6raynqpRzoTQumA/oPR17QgbTvbRXriF1FgXeVD3aFsYHmR+XVzrXeky
LY0jSphy0bf4iWas0rljvaV2n2i83H7BsJXBzhIibdaSjWPgLQqjRU20oXFKe0TUj/FYWShLApeG
BWJoB+28B7imB/kygdyJx7j3nmumybDqYrP6gQCpkkPWaAaI+1J3Xtm+df3RjMfiTeZdLxCgpf4R
w+IUh8MyRy+OVmOiHDRDdlvCDHEgwVdL3L2r0RZvvNjMeOzyCPRHVNrU+BU1oEGrOkUvsGtskswy
EiBCulbtye3a9I4hiAVbokk17yZuJ8A8TWvTqrdd0YKy79ayeJaate/9qD6V85Rq20aXKS/S0k4a
RbYr79EAK4YB8exop7nyGDbW4DTtoBNZ2hyVISr2kg30InAe1nhyrTKJGENP7i9sjEuyt8Tiio1T
DzV46zhX8FXzlSQKY6J4MfJqfJliW9yiXk+KAC84Vsyhbbsrus7o1fXK+adONFjv5HEV7tYHp2SH
aMyoxzKTsBHuoK594k0CDjnVI5CbRc2wWFlQ5PWOxIn4XcuxNgMMGOVTvmCBChZX5g8UQoPa2Gbk
fzODNs3d0LTDbdRFHf8cg6/10761dw4lAcAFzTBv4dsl3a5G7n8rinR6xegP5bH3dbZQPhp1caQE
GTtUmkhPt8QMz31gk25KGDlQ0m6jcrIGtVZSUIzwPqqASJLeZGdSAmvyUte4HYHsfrZlMn2Koom6
Tex02qciqe6lwHWuT0y7kPSmIDA0CtB7s23GO4NJIEoFE6L/XuYMKUOmQCDfdd9fRNj4dPubpTHt
amvmY4KLuPTnbtOIab6b/MH9aUk+ASySlO6vcpCqwjAryWLtaUbTIBcFmB3Mah6wBLuLU36hohBB
N+jdaR6LRvEsRoIcjtFu6q3pUFT7VNZqU/JevOM6l3NYZGV1oTI6o03KvN0K54xAwY0xsPVhUsRE
ZWLkc9vgZbW3Anj3U2xNPqcruyC6D6IVGHAzl5UHZgBXepTmb4Q8GNfADfDAc+TQzucVbyFwe2SB
AdyE5raUGlhbn2Ydol3FJ6IcZwbC+aQy6NaJyvJTS8T7naNZ4seC88GUQFvmmBCGwrkDmQmqsdKn
bkTpLuS3yZDgS3Ni1sVVLjoeaMME7mEDLHx25zh1d7TuNQk2/jCxwR4yYe25TResEYIt6Qaei0Xy
jT7B4R6KugPnCHzjQnNVdBJ5iyAJ3ic2B2YXGZk6EBtxOSYDGIsJ2NPrZKlTNFmOfdXHrq/DCCEK
lDm7koSfepUFGQq53hwgEpgfgY256mjFRn/dJOyceEQN8TKogrmTQOJTXiS6iyWfMZu9y2NpP1VC
Gc0x1nvmbr6IpoOmYqg0dMLmt6ITuF7B1LwJGqDNQ6Lq8WDrDAT3khgePsmpY8CAzyGP2K3ufjdQ
3mc2WWP05GMXSsK0J/Zkx0sPRror+7jd2XmiDjw+XrMbaj2zAwzgzOQa5jHXc4KpfzvkGXF/Pm/r
3bh0TDGmaSqYN6jxseMIfTYXofjsZEb31oDCviBBB1ayM3kJw/R5qJ78oUY22RhRgXxDwvKmmXGM
qxiOUrJt9T79cK0leqrZyaF5aPr0UyDrZjieJdZDJC1et7Qdhg+CKbQv5Y7Igf5bff5LmBbqPmqx
fx+mdZ+uWVof5df3mqV1XTXd998K0d+//s9CVPxGQpVD9JVlkI2HdPCvhSjBiZxpJGCe/wvGij8L
Ub4K3RpaQxSh2GHPtpo/C1HnN8pFVjrkIa4VJOab/6QQ/YcmgoZT4A2l8VqFtNC8/6FOg4zZUpA4
7/2K7a60O9yaBZjpymBk7YqgqUHTA5T9/UH6t1bRf0ghfv9TeZ11qnTkZP9M1tN6mwXQ5LxP/YWf
eJfFsDUrmlAn2yzL61/enNvfhQF/dXyb50T1vwgGqLR17EA2oEQSkMiB/ockyhx0WyIm4NipqhkM
xrlcIAIs07bDWkWosbD3uoHscktqSueG7bnkSM7lB0DdxL/xz2UJUTzpXSdN7Wk8ly3LuYRh/x29
1OfCRjsXOQy48jFsp07moXMuhKaGu3JPODUFkjuLvNva58KpX2uojiFfHMq1ssrORZax1ltVUQ39
EYiE8yoqkzlydS7OKKmqn+pcso1NM3rPU6KECmm+KessUnvunHOxV54Lv2itAYFAUA7CV6A0JAuL
MtE6l4zDuXzETFuyWDJ6NDjNWmGuUxWQvMrWt5Afio0HnMRZobPFtWauJarpEZNJgxILDLBgEjn1
C9DgW4uVIeTkGO7pCeKLawS6yKwMSos12xejFPZJzyaXPAk4GzXZFLF5nUKi4nrKxDXaZ6oceo57
q45f21hLFCTfjIyFAkhEuxEO4wNmkxoEwZmgRC9omyZiahx19AEagijo/dMyOwQeGPa0JcYzbjaF
N69BsvrUtHvDokykMBioxirD6Lv7hSzJPbL/Sruxktz9mlLiCxCEzl1PPCDis10DySg+ibUnOwrl
kmFjLV71WvVe9q3QJk5sOrLa2ZoYg7G1lSxGoLyWbrIqGYjo8emlNnmv+Tjl7bTZ+FOajDtTNKW8
6Tw6mxCXjM4EKCqZ21PRcNMbasmqPcuWWm1cZZfZhcYsmTipxUpJ/J0YP5V3ahizHp7ekHzi4cGP
nHV6He1M3aFUS5wi4yUEFHmoiKlh/MsjBhba4juaqUPyLfVU8dHFsGyCqcvcawLFsscyr0d/n4rR
vIC/s/CaD54O7dFIsx92PYgDPHMuCWHp42yhb4xxEfVuJI6W8jIjwAjUJnsYS91jAl/X3rlq6E/U
kp2/vmqsvBkUaZedY2rZZgC4mINAXzrCdSAT3SpjrD8omEkb4gLG67yQ7/ExiLm7Jy46fq6mOfmE
ANRfducyT+NBWwH2uAvDeK0Ee3sNljAdIgdYJawFo3EuHudzIcksuuB/PxeYxryMU0CaA4Wn33Wm
vZ9aXPmBsdamzBa7+/xcsNLy0NyZk3xWYL1oF6ls0cZp3cZT4/Q5nCtf1q23uXQph+uS7VnALJUy
2YVhA7hsrZ4zBR6Mn2WgS4jPBXaTzL5NhhEBSIGdYNcC+47IFTS3RXGOSnh6hSzo3vasqLvdstbx
eDWMjIJ7Le+jc6lvOn333a/1/zKahrnD1OV/u7A/YebblnxgAQciZ6ikfKIVp5kY2Yq8EUwo653A
aetsfej+HbbNtQ3JoSY+pefmpDo3KlPO55XlHiT1LVl5NDODLeYfEpwidhFpd2Wf2x53WWLWv2s3
pK99Ubl2SMu5WYqniMZJAcSjiTIRiG4QTII/BBnh/nLOLVe7dl8Q9QvgOJVbR9v23KAxpadZm0fg
iHQanqWd2HbS0KVrb/ffguafBc3q+aO0+PcFzcN3E6f134qYP77mzyLG+U0AWsCPgFcS6sJqqv3f
0zSTlGG8OKjbGZ05yDz/LGL83+z1wqXA4NJFfbjCVv4sYgzjN+Y7pqkzS8Po4On/L1QXknP4sbD9
kgbM90Km8vdZGvn1vqcmfBlMWBBPNfKN6fXbX16T/0Md8Q8t5b/8Gf+wwVqdv2Q2Hq4gSnG0xHOb
bFlz/t8ihxn+/XMuyO/CXy6/hmuZls148q9zQewr0cqGoxGUeQmBNPErZBtOqX2VlVe8902NiimF
ZPDGde+sy8WRfPF8Mrt5g/jQKGF9Fr12IIGgqK6y2UywNgBsfDW9Zs5A3Obyx/eVMQOuytS8nRxD
J/VvEB5Nh8rd8g06nBcfY2ZZC3MhVanLkS69CEvfZmRPipumjL1Gf4Sd3VN6GZLTI19cFbNKZ3FF
MTXbfesfxoQknYCfhZEPinTVhxFhkWD8bJcghyYBencwRNE1AW76rN9aQlXMD43F+qzZkCGIJRSZ
Hhea2yOaEWI7RGNMOhgYtzJPA68d+U2OMr70OAMTqbvsWRpw7neZvhA51+mqVmHhGn0TosnQXhhK
0LCh/AASwsqwXC5KR+soZYaCpWYiAXwEvdYyiOgrdEEb3x+X+Tik2fha+cw5QgVP5YFso+xo2lOX
Q9dd/CtoLo4KRyOxB6JmvOI41JIUgkK04tmoa+RSi+2RTVQOLZkQMwy0D6dFg0j4y0tCKh6ZcH6a
khFVfSCR6R4NJp9x6Cp9emhbbcn3aLESqgqSdAgwmTH9bxl3Q2wrBj4NQetqybXNH56HI2S3J4ts
IhQJOuEKAHJtYD3zPF4nvYrHS+G1hY1+MiUoFbOZfE6RW5L5UrvxczcTfhoYc9NToBWWeJnQAkgw
wql8MNHxPUekV7HzngHibTDOVJdknTLaYZG3XIgu0l7qws95XqfWIsvB0n20hfABg7bo8gz4Qb7c
WeMiyfkYrQbcpF3YCbU45LENaE/gca0r/Ie20PoPok9cFRqTIeDS9YP1szh+FIcVkeU07QjftCBD
2+ShymixnrQ9Y9WuK7rkEttgGkR6hVLBaDrvbrS9FlmTkTrXs0ueFtOGJbZOEVtxGQxckVk49Vr/
CTKJMcl/frf8/5A+LYgz4GT/9/fLY/X5QRh22f61Tf7jq/6khtm/0X3SurkGwnj+jlPvjxuGPGp6
ZxNuPsnyNi0xB/OfN4y95lFz/eAVYCmzyur/csOI37AMYe/XmQxhBfP/oxvGBGXx94MZ47durN4q
uPt8O/ufhoV4EujNatYklT0TqCw8eKZyGscdWqNuZ8bxcpwsKK58MD2pgbrV4idMz/bNONBrRG1j
bV2Ozn0tM5QBZVyiik6+vbhY0NaZ3kXhdkwNyS91TnptryQEDqdtgXx8p6fj8KpjXLupmkJtjExw
stuD9pn6xviBBHFX1fbt7A76ET5FdVKx4T9NRfxqRO70TkYZMmS3jO4tcH/XRLoYb1Zs9m/EWzW3
uUckSRx99SBQL01VNORRJN4OhGL1NUTmAGQd3dluikt14wNV3NDJiFOGko8RM6zWcWCM34Bq3rgE
cMeB7ffGTY4I8zD2jrwVE+eHA2Q17KwFwm/ft4zAIuea+OEliOsZ+W/eNXdJ+e4ajC4hoiJJMj0V
QN51N7VECI+0j2y4bGI2racvjU7SUi7G+Gn2OHMTR0dxhCT1glqTdMX5pkqxVxDWOe9H3SblJpkl
SVpQcD0XAflmdDPkR1O2phBLV/CNh+GYRX21zadhCC144C4YRM6ltjJUWPWRu3WjFKqrEOClty7C
qvxTKg8jdYzw40B/2vhHbZqzmwXt2LxKqyKNgJfW0Z47OY6nNpHFDexxcPZC+ofYoNm2FS/PZh7m
cld7XrmrSkvudEPWHNy9VA3/tug/WE7m92wsYz0oLWeL9zk7eK631eTE3mPsL2X2aTS/EBYGpkdy
IhlHB0T5b9bYvixg4YIieraWdC+jcq8iB73xd2UlP34qLwZonq40vvW4eOozZJ0xgvTcEcfUL48x
Sz1HaFeF1Hc4OK/nKr7vZHHCyHhSRXIAdNpeG5wMG7NqUUSweVEXqZernQJ8v7Eteu/5oU9TE7D4
rN31bKrWPUYNShJJS/mYJZ3HOsmwiK3zrkzNLbetwRXrlQc3kts0o2Vu9C0XWYC0fD+Zwxvy7/2o
vJ05/Ooj606zgfs691byEs3vxhqz6EVDxJ6iC8XUiZ2TdvH1YrhbnsO9XsrNUlS7MUfJlYoGgcxw
1zoOyiKfpKXe3vcCWW4PZX1OX5CyHWxZbztPXTsO4/LGIety/R42HJu8Q8ZrIiz8WVDwJS6Bt+5M
nPawV31l7HWhDxvlZ0+qFtlORPEjusDLPp+bULfIJMulFeiedmsh/Mtt/6lLvScqJX7yqNK3qVYf
jE6/survFPbwsMCiKxzE5Qq1GZEG1FLjqOtbyWYwcOmTcIzsR5GzvNP197Ly8ysngyxrMeJngPJi
+OlWjCWqfe3ACjMcfB+VNcT7ajF/ZrdP9gn0Icu+6/T4i0/tCwoiLLGhiv2bwrpaJChou72P9fhp
Wnn3ftkitSy1m1YiXkv78sPINRn2cYm+asruE3wwRCbmN5FuXkUeKmAdqV2gxd5tZKSfU1alkLHH
W1H2d5NtvwGifbGh4AJz0y6XLH8AK3jy6i7fmmV7p3f5G9pAnk95Rd7dW2SWR4Sy2z42yzCuSMYa
OmJqR/Lvmu65x1XCphAwR5Frv7hPPtAlnQwyGTDCPKtEPXkpFSaFy3tUGiU/r7npbNr1ufXuem/a
g/XdjWl/Q3scsgxTt9UkcnKVs92IhrmtPr2Kx1Py+V5a/eR0t2TWb8qKINVh5zYpyZ8lEZ6vYvLC
vlkEe47lI4o4cpxs7/ckTINh4gHt0QAbpDDU14lvHBZW8RTo78NYzB8dAlOzwCMin+ropHMM6nr/
MzvdD6vJoMCcgZ1jTVqJ5p9JNXd1XjCy5TFYmu4U5V8t5wJ98ztheL8m4TOS0m65j3hmk5OGBdqO
EFBadsjqnX2/Fmuh0akitGtxpyJiXFK93flO+TIX4y3Egx3S0SfPmUIMLr8gNm8r35CIRRUqJa3A
wzHuRDsOYd4NIZnfP73p3WSL/oxd/lrpyS3OkOO0UAXmEqdRnYmgH7CT6GMij1mrHLR8UN0xa21G
rURdzcw7pM1CNpaj6GUn9RRjgUDXdCgKsMEgu75AnT9OevvlIkU8FZlEYeiT6jYo0vhQ8nTOXkMf
kbLUbGw80IYsEMinzriLVrZduhztEvw6O+exv4qz+gtb8Mi/zi4nZfEiF5g+UDoGfgouByctbr2x
u07n6jkt6mNnRVvSLzQWyrrGs5d6N2bBk6BXIKUIS9SV+TIVbfeiO136M9UzPg/W54g828Oosy2e
q0bf6zXCacVRHyo5XXPIfBppfiMjQ7tjzLNtE5h8bmudCL30QweilmjtG65yxvF8VmsSKxFXvKnl
y26KLdEmwdA/MNM9VQRTEWnz4KXE6w7GZ5bo5a7sjf6Adp99+GdWq4YHkRQ0wnotTZCAAwVSqOZC
FZN1M2JUOIztO3oUNdvY5Y0V/DIETYcfbKT1ayYSzke2Vb66hWxyJGTzYC7xLkmiUDpviVsedSfZ
2WIBf+zAlLkdco8OpLwYTRJaCDAbCGnIeH5z7bVFw5ckN7Z9zL0pbIk3dcjSQ5x5YUYxhg8C63Le
P9+kctA3GHg8/TYtCfJy8n3iR6EYkmu9/Cwt9QZgJkDOCJI4vuwdUOqJ9VL5iqO43FTkTrRyfHdI
kJioLAIjHvBTVdfRjN2/dQ+G2QWZT7TvwLrTTUiJESfG0ngm442F76+rF7AAPYVA8SpzcezbmWRD
cVWvkhJveG8z/2SMGnlipI5KgazG3JVGhCcovrTtX1klbnXmb2pcDSTuvqqMu4RHRYgfNAwcLPFF
LaqQQf3AWtlb4m3hxu8FcRWZ/tIufHRaxCZdftMUfFWWa9uyVaxqkAtb40VL/xxkJVoLA0l+4yH1
b1MUzLJ91OGrS888TkMaxmgg/KSqdlq/hqMt86H1LAbTVr9F1V1dUVuyq0hi0iFrUmKK+ZEbabPC
45PcN05+6Ub7qSbDrmjnG0D3Oyfyd7Nq7Qs0t95uEu6nk+ZXdIxUsGYKLbN3jgmBQYMrb/I52RW6
+UyM5xZJ+BV0XE5EL1BuW1+R6r3DPhP0hu0FAwSZa48sWIvYibL5aTSKnRBUNnKmuVDXCo5d6C64
R5omfVQGIcUjqdhIC1p/M2CCDOWMUCm0lLUZzC4Eox4yp8aepMg+csXBSPdsLPalbfyCTL0dzPQ4
uu42I6FxcOMbJyVvM422Zc8VT3j2CbJVyA7jOlFDsdcbd5eDyMfV+gjebtq0ZAqpWVxV1XjBYGLb
QilDmnOktNuyb9r4TrN1vas013DYIZiakq2uofcdMfSQfPWGQCs0qvqhxTZjlGijmUHsO+s7Ml5N
QZUU9Om00bQelS5ONukmWJkgaHsO4emxtU2t+7q/ppplNpuDF7KINDwYznBYA1WzmewV0Tc7aZP6
nk/QLtb8Bcc8aPhOC/m/2Duv5MiRNUuvCNeg4Xic0BEMBrXKFxiTzHRo4RAOYE+9itnYfIjsO1N1
e7rN+nnmrbKqkgwBOH5xzndeu8VLrqqzMwt7K/Jp45DqnPCBZJMYNhYPyoOvn4vuvZ72tfkgptdh
ig74uXGdNbshzl+NVmy7flo7BqubgX09RsTVrO+tHld3Yf4SrjgAk1rEJbBLsn3s0w/pj5iE8jkU
ry0HsxS/basmwqA5WgUeICkCkrPsVce/TCjpXY2OaxieG8KNPC6QsEfoPzN+y8dTm44bmSU7a/Y5
hBsyq9JuSyGMhddIPErzWyt/LsL3tDkyMbgQgnUSLI8MGW5Dpt+cBHmMLhvJSAIwflVmLKVsh1Tc
SvNDlbGNGMLZrrUTZe0eGYE2yxe690M72ff8wWB6Xs43Q+5tZlRxJ1xy7abNP8EifCwD9yCLii2J
aE8l574mSQFuEK7P+L7oqX9xZU9PcRWt/CWnK75tLUzLdrnzu2nPXXCM6+LQekoffRwifO2y/KXq
JjhI3Kpw3lakRh2nOuIYIU1qih7b7rUo0hQtxGuXYF+01EpYkAdR/j4T57Y1cdoVDLjAQmwwHRt7
ZWkuwl6vEDy25wzPNNrmPfFJDZe/4LHayRcOlofGNPchigi2WCyfXMQgkY0zgfNkRCHdWnWLeMEm
9oCc223kkQ+dTNOzYOU46/mGxKj9gPV03Vcu9lsp45O1pECQiZg5xbg30Tp6LL92cwchToYg5EsU
/gRbHDr1BuF/20JkTod8O8Qo8Vr2oPGF9VnNNkBTTMjHJVD+4mG4WvkYgtXIsWW/zQl5A65xqdqJ
ezjcEF4DA4stKES6OPNYvyIgwjGxGmI9rm2WD4S3iXWYpeuO86RPb5Z4z8ncprPe5A1LyyK8NDI7
B/EvgMYrz/3ZGx+ayPC9mZa7McZ9WHuPKOxuzLBZYRTfpuH0ROwySINHnBJEZ3025jMGi0PEt5XQ
D89NedFIfp6qENp972Hkmrwd+XC0lZxwBCRtVTUeLcaxq1LO/S9j7Dheqn5L8PWNntDiVIa1Kvwh
u4tEsvam6INF1LGj+jdHCs4EfZsF9L8x6vwmGAmLAfWPfNvYxoTFn0SsoB32pDPnHNST12KApokl
jKjHKMD+Kk13imAgd0t7ESzp7SlxbpU1Nj/zuVq7g6uI4/SS0t/oIY3I4iR1+nWKAJp1M8JnmXS/
Ii3OMiPBXibZoWhEfkgjlyswNszujCI/OHZxYmTbYjSN8hBbfS/vYFrW7QOEspEEI6MOjBO+zRMp
PxsnGHdR0nEt8WVTRFOJ3yPOoakVWzTeFJOZ8eWzKh1jxdvu8rXHiHi0p9vZEmyQ813OozuaDg4X
0rZWKH4cM9wX+WK8jiMagTQNB7VCtiEIGQexcopUwf8+aP8NN7H66TMm2Ni4vTZO1OXv8zwUt8qJ
iuZTTirWeLixHu/8kSxVXHn1HcyHSm4byKPGBtZrIrdmWbU800P7lQHIcMJ+Mt1lXcgJOdbVc8Hh
eOyEqu6gGjDcqKj+nFWmjd8jC9jbvkTzFTGe+TUXUDRXE0q/te9xApk56UAIPf1H9rnyjT1pvY2I
FOVyHPiWZx8RcMuDYJJYKnHXEkFrVD8zQ/vEDAePdV3GB58V38nrShfzuCi3wxD325TkrC0TbhbM
ST2cZhmM0BPoYJO4y39WglGsiDGb0ddXN4FeJktBEfwwiTRtVlSY+nkswuBHAnKEPGXJn2EYMDgR
ydA8Ld3VHtNMeDZ7zR8BCd2I0acj8OyRIgLDVPLQGm14xtvK0EcQGfuAeQ5hVFs15E9i8LtkPAAv
qLrEpYObfZ4zHg+tCJMbHY3iNmTxeyrBBtnKf0ZKU53iuvcPrY8pSdi0ZFkWfmdlyUvibjYPrk7N
g2DbsJ5n/cWoSz2astM7VxrLSy/JrJqh6ZhVjqCWgfdeGOTB6NlEGJEly2vqVHdsW5//UTX8POZE
W12mQ7huJ35qFQ7RndbGK5SM+K21WERjxaVkX35lWzdir4dW3MZ5m+yCfm4PCOWcDYnGMBp0Rx29
/E6imsZnATzhDpVIe5vx7VIdJPGDaMr4oXaH9tAQGL0ec/w0Kvg27Zqfq00QuJkT3ZGEJW5JXs7l
WobLP+L6OVU1v1ZDk7hrQxLssaToXeUbDmYvXLkMIMmUDJr4wYwGsf/zTm2R3GCaihhruOMCuvhu
vThFmh47HzKP7A8JhpgtUM8PXj7basj5QFTKrVWgvKyQ4G5RyfCDVX2vdRwyDkQoklDf41CP7rKG
l135LY00KnGHAsWwqFnnNwSdel/XBguSgjfmcBU1U0HOcR6D3OUDNhODpZDjbvhUl6iH8NsMuSEk
mVf7yobe0MLauHT0lh9paT5eL6brC5jN6dOY5Y8qTZgRqjF/lDhI9jI0XnXEC7++OETMYpsVLW9h
+YDcmJ/qojOmcTM3IiTAmVUoHTnDw4wd1BZVfnRHPnVywLeEFXRcHu2OTzEYjOGZdDLMbCEfQz4n
csf34dd82JWJUKdFMbR3B74exPc/nMhstteXyZT82x3kWzUS/VINxHKTYFxu2lSHZ13Lt+uL66KU
wDQEmI/ccvRBLq+/NR317k6EK2YDvyTIxYnzt9zJCqiW1Msn09FiLZ+fFu4Jnc592ZSLvf8boSrq
l4HPhVBkvsKBPZmUJC6aDi8Gai87UX5D1eAEtuIvw4etAIqZM9EN2MstFz+yCb1LueG5noxvJ4xe
W1x4mwCD1I4Sjf6NyeDKtY1XRAi8McEvM0v3XvTldyQk+XTUgBuWePlBtU3359fDZzwR8lUjkORd
4m/nJxD+fYBv++l2/FCDFeoinucWH4eKHM2hIbyGCJK1qAkLNN28O2J8FVsheetQtcpNHM6nzF7e
4PXHceRcX5Ua+/Dcl/kFD1OzB+fjIPJfLpS2Ng8tahFsXrzDCk7TnRj5I3G65QkzXf6oE9vZlN1o
3BiuFrfC68TeGFV5ynTFeUGkxcP16tTNPP5kY66QgDjGDeG94VkO/H7NUvYWI/6/f9VujIe27rt+
i1xpMnBVcvZc7yipOHH+rCiKiZ8Qtwm5gYhDafyNJ1omJhF4q+aVChvxbAlYHvgRBefwcqQ1iv8i
M96ZGCf1nhtG8NAnP3xlM033ymhJaHWee9h9hyiT9XNnEhQZJpZ1wmplkIOb1aTA9eZ76KYcbf1h
GbN3DYWoVBUKtcRI9zyC/Ac1F8a6082dsB9Db9i5ebVrG/mInpuu3phwhY70AVR+O7IRGVPF3u+0
KdezUwfHaXbITXVu6mB81F37K2ThAVSv2oo2CDdW7Hi7vs7hPCGhi2b+8mTeKlerA5fITdfXxms8
h8NqHKdTtzgHfYsnWhOok6zy/L7vu/qu5h9CpX+FYvjAFFnu/ab9rFzj3FP1pnRCbl//gOZ8L7j2
2cdn9NDfeQTuIIbqbOxYI7/1BLOxYWBL2n5ygt07BNd/QCv5Qnt4k0njWDpkatr6bnRR03djeaTn
dA7KHPoNmJMPJFJLJIlXcRw3dw32+SosHwinfWjq5AtNl701apDVXtmpJWHziKx9HUwes1nrbeyr
J+WW85bmZQaYw675oRTBytHOC37Qo9eLN9evzsp1wodxYFIl8X+A1xmZL8mIQDiate9G14dMBPaq
4IHF1KZ20SUQQhyn3I0y3CvSb/l47VfSA9hnebeURJ/wAbZp3NqvBKv86hP3oMPoNLT2Y6LdneHk
28gPiW71V6AILvli780ITl/7Vt3syiaV6zJtXiayJmlQLjH8fIx9myWtMlfukeIMe4S5jVkdRBBi
byrPevR0h4eltMZtSvwmIaXTWvXx61BP7zj33Q2R0iRy9RTIKiOBh7kY3G8CtLwEDQDrDDMT3lqa
fCM6r2nUy24rksbawLsxD6ZPKuAQV6+qrd91k/ibfh6A+hthDoNNMfdWnrvqOaUgHAla5CplXEHi
GWrubt0Njtx44Jme2v6HFYmNV/Nu7CgJNr2xGHUNkZ/CfMyOBFBaB8QAOKLNfHzJKbh/DH2UHo3Z
6TdIiI0jvAjyxXJs1YXobApLEvLyQQx34GFyHMzDvJ3SzNoXM53DOBHdHRIDxyFqPCijpc92k9Uw
ID9gJYlZwGjcZ7xS32x88pMVLYLOuMNWwkmxcz0/ubHnfsBoa7Rvg9X0G6b46h6EjNoMiNWWX+Ds
td9mvzNNWG4cCkEfpWBIW7WXXQJnyN6TLglOqM74ksM43Pk+7V1bI3OshjI8SS5saByDHxxbIAA7
EpucVymwTmtF3ZpAWqH7GMEX9WZvb5VfAuzwJo+JFcbvU1sa2Q61LF+GJ60fo5tUVGoZAgSVNw0e
6LH54ljFzosT/Zi3sQOgyUjNH6THIJb360LeeLJm9xV3SbGTyucQxVwOy6QICDT1/Pq26xPWh9MU
vKahEREKJ7xTDsdnY2HwQhJZc+/mII1WU4/EcGVbE6siSQGH0CEmy8y2fvhkd5A7ODChm0fFwCSq
7lqvd25QtYWrFDsOOkQw6T3S1/NIjCeVfF18kuicWfQlxEyaSG5oy+13BDfjt81C/lhXuDZEV9Ri
tSytV543uoz2+oALkphs5HYllahJ1nCyn62JYYOLt9d2nOGIdzfWW9dvqABBAZuHhCfwOQKW+o4t
Mf0kE2Z5HBk58W65HZ7dgMJNj764RbCU7425Dp+YiiJTqeaw/haWLvcSJsHHteTVGjAbXligvMyZ
a6IAO58Ct0qJjvUCDWxpWKLpN3/KVstObsQsxMXNWp6VWQaBbO58ZqUoQebt8hWsK4NHJoNt1j0s
QLudwlIGMJ+3vRrTfvyWls3ZnLX2JZN80cRJBuTOup7Gie13pNCJpFPvelxKUpFTpP0ptLHVHLKg
8+D7ZD3oYFlS42NKyx9Vk8gLnqLiM58daF5D6f8AI9DeIWDtXlAepeekiaLbyc+9R7OIiwMqJ3+T
NAP7HbLp5kOoTIz0pZ1a+xmmAdPqJGHtZ2tUobFT7rOMZycch9VcDMFLayT1be9V0b2a0RnFM0Nx
WRNqPvUBNXbNdWcWvtqZi3lLhsGjjbf6luztluoLfe0m9heW2TwVIUOvxNuzuManGfSiDUF2xBkD
Eq//bTtDsokJLT9EyaxvRmpreu5i3rWenDbwj4rtLNNyX1R+dD/PNr1tabZn2FaIY4Iu8RjvWa31
zQjbObug6O5ZALfM9O2Q9gIz+AbDDreYM5jGxWAtfjdLyCW7ikXfY8hH/zb94bg1E/Yn4bQfpC8W
v9olNNHzK6NkAMEcK+tdzWmMU+6xyL3oEMEI2YOw8948z2BjS15W8p0HuCSB1Ajrzq2MeVsuVDka
2O4ba7p91GOBExafW/vDCjpCy0egaBehEvumh0ZD2qkCm0ASdp/sytzLDp6FxLtTLh/QIJlAAoOS
51hWIufpvQDu3Drsz14wBIBEpK13KuOuWOCVwTtI3/qMV6gZtmHipj9bO2KKMA1ps5+qIbgUYoDE
gkyb+FI7ye6DOLY3aSolwr7GWSa6piJa9BovrDvNtWsay2W/VPe1b2Y3ViMohnrVYUJsG5ebBesz
T2kryx9LjPi3OXcwyRFVRbIoaaMI+HFmiUsf9cF9ZtRIfmEFvrCqYzJPmX8bGUZKLOWCC2QW9Jr7
kOJ/hnTadFJdb9nnamlV1jHPVXERacNNRfK4MfPEdFhZulcmYe2MlCauDIybfEwcRnOUv8bWaqaM
8RnRzwAcDMivYaWtj+DKO6wHJYu14Q9uesP4DeF7MHbtZrbSrDg30HG/YX7pT0Ry6fPYWymp4DqQ
eGGV9hAH8H1ydfEwqTY8hIwX0KsFuxszouPqEYIzwh3lyTBmlN2MU9iai9j2zrhTxcUq9HyfNYsV
MO+hQyLGmf0Tz2pGykPkqTeAUSw6U9zTrBEs4CIYCYIPDMz4au1EbRNEaeWqJq+UNkODfBytrDxy
1D7jFHmY6qoh8qeC0hKI+hul5Inq7smFevQANINZuysPw0QERgvJhEnTwIAdPIz/iF2RXNRSTz/d
pr+fAPScc2kwLYQ/1kazWA51P/NpYYZsywXqbhJgLQ9TVngQ1+xhbzYy2A6d8M40Pv6DDzhkPyUj
IqM+bh5UHrs3QxP4PwJfLolDHEZNuBSWggCSOcycn2NidLuR+uJU8EFjUS4jrMeD9j6T0RtuCt27
X+gGFBXG1JVPSthjieCcCdfBT4pxPIaj08ebufWhb5VxGo57XeflTU0VEG1AoJVvdd8P3da3opH4
eE/uYwc9D+N2X+iNN1Qmb292J5LQJVN93AjtXQPDtdo2iZ5mMC1x9WQpEXx5LfMynO3WjwEnx2Fq
pES4b1nUt1FgvzoebHvW+VnlYBa3w591hdDPs9mYKDd7iYCp/CCjC+XKhGEgEI8ccgN3ZRl0h2kI
py8yEgRxg8hP6RZp12j5S4NSQVg+2iRm9psatfEqCNRwzDkinuckitI9Ec/NXc21y/zaS/dRvYQ7
h6kX3DHgpT0Yh5phnuANgixlDu0zIznlC+nRGcJmW+TWwDmDIfvTSDBRjLpmZVAw+HJL93ZRQ2zy
3OCbLnhiIB2gTfKCClGLsphgMcjcRAmCzwL/zA+Oxf5eOkNznkx/eG8z+zvjGFsDp4OnkebwQzO+
XGmJtXQFapwQjF4/etOG6K/42Z5THxRkd0oqir9VZI3ZwXAcahovS+7H0I2+EA8PFNutg+RIeUdm
OdQ1JiCfTHR3aEXLpxYoHTYYb+94rCcxld/it+E5C6qWDcyopHxq/OGtk3e2Ow+My4wjQqeC7SPr
xofBLIdLW+rikRGoOAS+mk6EIVQXDlBnGyUEJKgqyXecP85RS5n91vO4sN4M95ZQ5e4mtxtc8DSF
9xFyVWxRTfsIPnBrDD6cVaaBD6VO6GbCqDgETZPzeffRxUaLhoGkGLxNUjf5efS0vEVfgfS25Zls
2MUO1r88M5RHBmNVCEPyEvcvdLRNXwrnudNIbkgJcNZ9OH+QD+OvNV/x+1RW7r4R3g1G6vsMbtM6
rJ0CxGDEaDUeDQRr7bSRUcy8W3XVwYpsfzNP8LjGrPsdFxnnfS0/EU0mXOoG94fpkWO1QMRA5H00
lvHoNFb9QJhp9ihtGe3cIqejrqKL1BMHV210r7WlsOg0iWL4HXmXvMuDDw+8xN1ou8FvOTvTJc6z
VK+suKOjqfBrOHm4p3a7UK2lD3Yw9ofKysJ7Bmvdp9dzmedm1356Rt+coqlkQYwUbC972TCNdq1b
YVfomGdcSQqS0U7JgWCL0h32DGDBKVh86ZHqsPypevbORpBpwA3JCDMylHJfjHG6cUAw5bD+TOvW
UAah2UVVkLhNjDL9E3q8Woutr9G9k5Sc9fVz6mZ7mQnuOG27yaVmA3XKW0fdh2PsrIs4bJ+7rJlO
1Fs+3T2zpT8TnpmH1Q0VFtMgYZERnpmEZrtlTiUI0pF1oZTHiaH41kWWsG0ng8c7jyL3TuVVsmVW
2ey6HBt3FxsTOe4LWGoxNtWm59356AfPOHTaU9058R2b9GzbVfF0GxPNfWQRNh/coFpHwonlejJc
68VPrfJmziN57CDx3jJOYestqy65BDmzKrsoRx5LbDJKuvO1pYz8LlWlt8MnHF5U4Yc3WPuSc1Mb
VDDmWBz7vBY7PwsKpirTJI9xVPOXtX3oy6K7bRBQQxdi4GhywmmVn1s2HCAnraEvntip1JrVoOgw
F5OyAjooZyHpqK7hUezN+rnuqv6cCD/lCvKdDeBbj46E803S9KL1ZIW6gvUKGQsYEbstw7bOmknA
Kqa6vc/zgoFTNNT5yWS2ieJrDs+BV0AMiWwXdJlMeNgVfU+Wtg91rGshVBqapS70juinCJLwMhdj
+qlU0R0Hx2Va3PRWzZKukKj2yBZgBBmb+SN8PPnt0naeoAB2p2wa6+HM8C+6c5ig3bho0PdiKq23
XnQOq3HmAyWpi+gGGN21KdNAhWObPWd1f50rpoqZbVkw90WZyUrCATL2y6Hpe2udSuyBbqp3KZaL
JmBAy2IJaJTnJjfXhUfZKOZ8SBSPgcF6oaK3YSKX0He11RJnrzCYfnM2kraLfzN+c42Cpa+G0vdo
oijdVTHCU6LiO+q9ngUIEymqnetQ11nG+yCVGfL6yvyygxljrUZo0E2fsPc0KFoOHhxfdMl+zvZb
Uy+LadmhQS3aGK1rPLe0ibtQq1czeEpaVHWeOd+34bgs82oAdxMzmrAJiLprqvtxhBfROPohS0e1
U2GU7HwqKkxwXXNC8xXcydgUG6unlLGQvmLgbNFZtoHYz0Zwmgi8XKMURVRZF1Q0UbWZM2MkPJkl
BnS+zLQ3poMyw+xEu8tKMV8Mc4Sf14cN4eSuTQnLe6yQbPOkmohy0oF374QnAADoiuoifpo8MX7J
kK+1J5R5HIp4Q6dZcplSYbemzaMp4+D+BGIwPmfF3DxRQ4VnlnP5o2vSIF+FwkTDi1uzG+Q3EFUK
bZHazVPrMaEdRryWK0NwtZg+U2hGsMkNcFX64KRHYeXyoOyxRsRu9MeV9N/iQf0/YTIgZQJX139u
MvgfzEP+nktOhu7yV/7pMCBGPCCxBK85Gyv4TX9xGLj8J5/HnGsSmbH4xP+3w8D9hwvxyYPTZPm4
CWzxVwvbP0BaX3NSXd8nZwvPwr8Ekf9XweRwAOr/Y1L3eGHY5HDhwy7GSYdn/e+2rwX1nNoSlWkn
+w5gOuP0DIUXAQkMahTWNrssrWkzAypn5WJoe/hjV/lPLfkWb+VfXgEVtbD47Rj8LMteXuFfgFS1
EUR91rkjuVAM92D1Njo6TJkyfjiiiN5jr7XjTULb/+4h4k15ZLR4PzO4oDwRHU0pO9meuVf4vcpj
mlZDu/SG0c+/fKv3/9HO/3cb3vI5AURwr8ACj9wP/19epZmUmQKTOqJqMMvHjo33MxPZdP9f/xaA
Xn/7NPBlkJeAMgSngeMt1pLl0/rLpyET2WY41Hk2tSrKV8GVc1y1gf+VQohatfYIXcS94pBFJOon
N9TjXbfQkoVoM2wDV4hyyvp/2hqtAVzZULBw7upsCoEDXAHMciQE/QxLR1v3UTjF7m0i5Gg/uRXz
OgpdY0LxPYVpf5RW5cxsnXH7n3y8F/Mrz6fZ3lm9X70F8MkdLG4ZOC03ix2ONAWIUhLQiMb3upqu
zFr5D5jU2EOL1GjKmzHsjGGnkmxGTNwia9uJhgZ4Z45ZHm7Aw9aKGazNhNB1Sv4rs6JC300pTu41
g+k8ux+utOtWlAGJW908mnFNaDXq/1MrCH15Lct8DHj0kPG3xoUYHXyXIJa3uHVZVTEZ68aND88l
OSyE//K9Zho+H2WGB5x5qkuMQNLaIRMWUPjpus7ruNob7JDUms4kSo6t2yNn11aX3XLBQmoStRgw
RaDnY6PFXgq3vWzt9yKVEIUN3PxylWIhoL4UiPU2HrPl93Au4m6b5iFtCp3mZN9Kr6LNZrE822sV
zP6lAVP8lowZGh1wrx3LwVkK9r9T13JrpvSEMAA0Vu5RhQj/CzVY7c5W2lSvJT7L8EixYsO1yKi9
142bmvWrxLfUXXosKBgmmTk9+53K3S3kTCM8IG80/SOzFuEddVSM1qrr/Xr6UcxlVzxz9dd6Uwoh
Xmrl2NWxjdhtrAngcPqtg23m2+uc+gQHlmcRFjmw60IMOfdpaIXNbWIwFF1RKyxiQZSxqPNLuDzI
xVw3uS+C1leo88cEIlFqYTXIgpKEhsrC9M7EgiEMV08KttR1PdbXkWVS62cQHF9HabnFa6SN4luW
dYq4E6JxhkiodV982hsGoIjO6IwgodlnBsYIDtt+Fo+RVcXvqe35X2bRmOo4xjWyO7/U48F05ti4
aDhKPXTsuHnHGDnoVcta4aNFWfOYT1X67SdeVxxqtCQPtdb+Azl2slsnYlAMey3FkMFq/ZPJ1HR8
cix74pZos6gGIJaF5l7TUoD9CCJ3XDtVqLzDDK2XrxSrJFvoQP0eppm9i5pYcCzsZZhzNV57Vtsu
WjI61wpiMivri8XGZ/G2jt4n6neDezzlgcS8yG7cLYQDfUhTTIpbhfB754vJcncuXtJ910miiGsi
tcx1PU7oDymTw3k9dFm1UbZr93vNu/kAVgREuImmuV172cAXmEw5ceODMaN0nRTUzyOA52Bi/S2w
T7R1hJ2MmYQeNslktOMJWBKTjDQtg0NWULyudaGFxazRCyPskvwqlFU2ZVEJMNVdKwt5w8YZbS5B
kA8xyqLZXmpbwMmEq7QvYKbli4fP/3dMHCVULzKV13PCEmoXwpt6CSrvPUcN/DMzFVqFJPdZzQf4
LTbSWJjYlWwBzTEhg5Ud1GNyAcSYBhsygGa9j5w/ZO2WTkRbDdQu1XmYI/QC4k6A2bqrYsFzs7WC
1J13pJ6gdVwI3v2V5t1KDztyl7dS7rIr8TuWC/0bjV3wal2Z4EFSqBtWgJDCQ6RJJbgDG4K4d6WJ
e1NSfVGFd9+4URecXjxmJ2dBkBvDnHyIK5d8ZHrzFQ5afyFaeYhg/7Wr9g/HPEdipUKjwIgWMNUL
6+atMk2yzRf0ecgj58POv+pI6kf8wvFXoNDCaWKl9r0FNR19fvc9KeXoVXPFqpdmZbzaC2s9G7oY
7DqkEfaXcN4/9MJlD+XsFljmoLX3V3B7FvXAiZ2F515OcZ5v41ROn3HRnv0r9Z1dl/XE7jv+2YWK
zgHywktypcSLpEdKJma7eq8Tm/EaiLHm0nFzAq+6QuanP8D5K3wemUg8rf2FSe+nNnh6gU8JVD2U
YqSigUK2V8ehDjiAZH4/JwmQ+/IKvHcSp3zK4MmBwV+I+PIKx891kL8S/IE8t7/i841wQenzTvEn
hE797VxR++NC3UeSC4Dfv8L4rSuYPxeth3J14fVXV3R/ecX4FwvRf7zC/XtjDO8yEJre2g4W/D8e
qonAvBbGPE7tJSLAWdICkkJKHzXtwE2N/ZjxQS3ttga6uAQNqDlWv/rCxKTuLUkEOBRqRLdLPkGZ
Jul9b+Io2MprgAEaq+HNF8xYV6noEVMZvoNUokhj+RBdQxDCoEbwOWGpLM9sFRrG1l1AKVjlY/ow
XaMUJjhSUHOXgIVrpfP/G4jkq/ub35huwPlLEfgfobLJZ/8//+3/8lf+2UCY/3ACGgQYE7BFiUum
Yvx3i7J75cZaQWiREmta1tJb/NOibONedkFcUduzliXC7S8OZfMf/DDTC2lwidAD/fzfaSCIKvx7
yeqGFj5hGwt14Cw51f6/cK7aWhlYtzgYZQ7V5Ti7aCLntoirTW135uFPPZiNnvtShBQ0q8itJ2KQ
s4CRuTFF/kvnuK21SkksIGxUNEa+M6CU3gW+55EHYmj5jZ0YWkwRydJa550XuTuEVfYvo2SBdEhG
xuprB1O9sZ4cr32wROTLzVBmIK8dEJzWPpkjk6kBtevvEs3FL7xJ8/OiIQEyBq4A5IPw4sfaNomc
NgQcJvCf2IYPRBRANbBT0TWHnm4eIastYNdPgYnPL02CtVFX7qWwOzA51JT89cD0jHZVUbF+sRAK
v7sgqHv45xW18twa4XNdtt38bKLpp87JpS0O/UyMDOHIsnwvktKdVohh/fwUDwE5yjPyRW9bWK4/
3dh2zhEpu5qkEzPOZoxinJGbzov9X8as4x+DL7poO1qC0lODL8rW+NASGJbJrN4mUffR1jFUw9EC
WdFdx1XnvThBVN47U9XnB+35s4vNrmaA0Gp7fOw6raxNydFerNB2C3uN/TP7lUI0ffI07vm1MFoG
kJFpBAuPJ6POr1Dtvyk9ME1qRQoTM3JjmW5KrtOchz65Gqt6HLw7FtuYvBMddd95kSKcx7+cEaGF
hOQ5TlwTQK0lqQjJOrMtTHUGioOi8Zy71EdqsU7qyOZy8TN2BGps5HeVYStZdUUyRZukHDCn1/as
3lunGeqzn2ALPLDqxojmGi5TE2BBWDFzHPePVEUwRZzGB23l4Wy6KBQV8gJiOG33dFk9lCtYFQdc
BOLBduv8ywy1840dFobsaMXRj3BATbMxyqT/TA2BmVC1Vd6vDStKnjz2qTDXU5bEzHwa+8GqWhbB
Qvm/RqwD5U6wCsUaIxuMvL5fo/iyqCmHObtrnL5AkDTHL0hGQMOSeZR9zWTKsoxGV8ZGsX0fdYoN
hjllYO2IzrBepmmJ742yRD9p1gUIb+Y6P4NpYSpZZRglW+2REUWBE9gHrgMMc0IrwhbBD2Cuj22+
olWfhCztCpPQgpVZeGrcxoWIkThMdtXtC5A9eGvLEZdNSYzSHWuIpr8tC2+yWR+3McqXydaE8sSY
kNiLDONhSKYyuBVMrSrPyU40FxbX1ADZBDNwTGBWlS1Ys0C2n/4Qd3eLWbrfsscoHipr0UlLYTp3
rtuN+iCTjnVhltg6OwwOF+rGUPPiv8rrZUohR4Sis2gqvcuLCEtdU5Z6I5GOt/tsJGBkZTgjdmG3
Ex+a8fomb7X+YBeu5luinsxh3c8qexhxiVeHhhuF86HwapRwhsmsOk0VWq3CNV+BqEn8ayDzhv/F
3pnsxpEkW/RXhNoHEfMAdDXQOYqkyCIlljhsAslBMc9z/E3jrXv3/kA/1scjRRWTYulRnQU8LTo2
AsWkZ0zubnbt2r3HpVe2iC9nurYxJUWHam473aGD1IuDOmamXZBt44qbgZeeDZRwUZVuYh6JTA8f
CtomIB+lw0B7Z6gNFlt9T6vszCyc4lKVFPoeSKqbcJXS4qzMkWejfhHmpGIzAybkJ4j29KHnSJFG
M7/3dH1pWJV7adg+oDh9JKxzIVJjFbV8q2qWMPhG2n4KxZDPI7szo8McmkT2VofidEIhuhghZAx8
PDPt5qMUEcYvhzryTnQETI1lVqbJiR7EcbhM0zH5vc4DkoMScKFfm6SdcEgMlFCGFs1tCTEJlQwx
Hq/CuNVu4jJORNnQje98pEa7pVW3qPWUuT+88xGB0VZ6VSjXGVpFYE9OVH3U9cZi6rZ5Lc99VUNW
PMx69XqIPfe4orx0QZND+CEUfvP49eH+RWjkNtU8lZrkGL86v5mPuJsiQpha/blHQU2eN6HUnCAz
l+dXgRT7J5ndIfoVyrAA15UeEgm1MLFvzJANYTk6JQUAos6GHMfXqrc1/awWLfld/8FomTSIKOKl
haSZBSlVhfT5HsgNxzosYKryQ4NB3tpQecw0l5pMDQqE6B/hh17cZxYIsAFii7ZG5mdnnk2f3jJA
Jr5eqKhHxgsBcWGzQO/WCVUmF1XsZsSkgzOvr+qWLIJ5Yak3A+m8NSM4VS5k243PLJOS/wLSvEfj
6Vhav8lKfySlIyQxHP1QRR66BLUKo01EFm5BmiS/lZWrxkzsy05JUCXHZQBnVOq7tH92iMafeZCC
yiVS781RmzSgHZkvlm2cZwudHpiBXk9ofL29xGwJXlo7kmXQWsnyQQN5Zlzz/jvxUdi51TmGM4NM
tx09I4s2cNFiBMqGFAQ4k86NQk3LtVJUoT9v9QoxnrEiT5nXvtJBLMTIbIHlYlIiSdgzgShpGw9O
DEy4zM1ej+doENGDCLQEp57y/3VEzTgi/yT6n2UFTNuV2sQZRRe/o/8N7YUG1MDSLzUoabSAmgZP
ahh80ZZnuwVMSbRIkW508Yai9QA1bQvdOQUWdGdFKEN2sCetslMUSqkJRMgSvKGGc95CHMRWbrzI
uoGN00Gg2kZxW8o/8hhN3OyARi5Dqaxtukoj6Nx9JJsPulXhOGH5tGyF2Q1Lf8HWoAfNXemkrcWi
ElcX0ImaZF6oWo6Y+uh0MuRbCqmLqFGLY4rxIRXy1tC9Fe3fgD+B4zoXCsWJnh5kA5cZXLlkee55
1Xjq5HpWk2ZLxQ17OM6SuqHY5wGdpcUyGkUg1HiJIy3g1QTs4VTiLsdOZ60BOhuapZW2Rg3nrmRv
G/weQniG2wcel1lE/7bWx9J1NoCAzTPhX0q/LD3E9Dl6FXrFVU4F1Ylx51q0RoI2jd1D7Z4ZFRoo
KFr5DQ2rpsBukOcPz2THK1eeyQq/aBEg6FfMl6pbcuZhMQuNlkWmzREkwNDTVe4qF7NLttiIRlYU
q4kLNKuuL31fqq5an0panJo1ZCujkS8qKtT93ESZORdUhOa0V+Mh5XIiPKXhZNfHOLSDRhmGJx9K
dlOfJwpMokUfVvJ7z+8ylKwkjPMWpVJEVHn0iiVSVa3uPIfPjq4mLCv72Cxzp55XdobUOuEZ8ZSt
RtmtMUI9nQ1YuNAWmpo57kxqNtbIOyvtOXXWTprnxLXewnJhDQGrYaIyFBIs6ViGPLCAlK2sVLfX
nbmidj5ERXNUaTvLFIqhQZsb89EL6GaUzdQ8Baoh0etZ8Nle8vAIoTchv+JAXpglqhLfjBKLLZHV
gNw24vq0NHYx3NI8YUWaIRsq3w6SpdA0OJTeB/hqpKEFLRDvK1AqbxlJeoxdFQAeCo56PApF01BZ
YdcEYuW0tmcd29XQvZPjGFGcqsjUNeRajfY/eqlg46oGIFmd2SPsRE28LgEY7p3GkrJJ2rbV15oi
NxLmOKL8DpKT8pq4SXSfJiG8BCasaeEq2xQndPEm1ttyJPGelS0EftclEoWmnObWUrVM1nF/hHo+
h0irr/smQE7PNwyLDjylqmnrbmSC49A3isPIK0K80ZCOOpTKtiuXo9yzRPlqYT+0Qd3IK6g/RjKv
e1W+lq0I4nUWeTamj3bt3/g2Wqcrg3A3XimSm4AP0q2hrmlCo6vEDBrUQi0ISHTE0OF+61ex8qky
VWJ8k/5HNHuJMF0EM2kFxzLAhYluu/hyoo7WFip6LE7+gFdU0KFAAVS7iBAuR0HCbhq8IPK0ubUi
m0SokeSoQj1KSW6NUhO0bAx3f8/S0BsZqbN0gIuS98/XE40zaQAYjxRevZI+dhqAMVws0iObmA92
fUznmxlDNRCLSM+bAJWKySX5JcOy5JRr1astc5ZltmjLwLGWHTEoTO2cisHAw2xraWW4TbrWK1WG
Uh7U4eq/yMICKa/n+pqIT2qq9V1sYf6wKXeLk1//6Au6oFkHwAMqdjAULXV0TqhBPqILyoGuKlQm
QQ+oYNqiFPUEXbAN03JsxVKEejcpfwVTSvjVWEiIg1I4FkqC7JWa9kPlSYpe36ALmHYZaGk7FEtl
bVLZflIQ03sIfGUQYg1ft3R1ETQnxawZi+oe6Xp29BAe9BqEHkYC/Nn+Nhv6/lYnL9y0oIDljBgT
8qORpcaV1pCfDWFTuYsxI8iFYG0N9x5tLx0sZLONFwX2h+d4cUCo8hQYMxgbZvqnWlWV88FHGPO4
h3VHbQjGlbqgxdL9ncbosSOvklrs0oSbAlMuR1J5VOmJaepWyebBZL7gUz46JR+Mr12sGUpTmDTI
eoPkSNNRGWCvS2FOlOPQ/k5bAiJTCj4KZ2PYtf1CbvF/QJ0ZK4hwsoUIEAvB81G4RZRKFdMeLTwk
SAVRadOEs4Qkm/QJEnXrOF05cNjnTYsPRd30MWTqyZ4CBgO7mtlXajsve7d+LwvlY7XALR5VhZA6
Frcu3zRVVZ3lPWUyAVkK0lo4ehE1Os8DsRTyynnlILVsEvAcK5obGytZaDF3HisgRuYdvQRJmuoI
WgZEDBUyNnQ4sFKaR4kpnJ/xkQs/4eSJLkBOs0m1MKNRPsIF3XbWXuWGF/iMWKd+S8MrZQU72SRu
HyOXJSu0WuBZ1l1jPCM0Kg3bjd4GQoNapTZFe0KNZcTKM3SL5V1x/TuAgAjxasmP0vPUkjHIW2rk
Fi1rkV7QkFx1vrYJsZ+7alzVob9I72MPSYoCniy4asxaqFJg0ObU0aLrphnVUySI2TZaWF/pnBOS
sk2ENrF1nGuma7yjQEekN7fMjgpFAgYTvS0qxYUNLaMqdZgEDtRmGVYz2Yre5eHKNpW6Wim5kmXr
jG3IWEM0qi7RG3OzpYHS9VIUybylruQWOiqKA/EV/54SUNnG9wTxP7h4C5AMhApoDomHs9DOESzQ
A8TUqAKKzYOOaPVai/IBOrHi5ANKXvRAntLNU9K3icooVeYI0I2+rAIZ1BYlbTq5Lbcl2lJ99W1e
d71+pKAZH5+RncfdBZMr+2i0isy7IKHHfNp6dQzalUGNJrlv5gXtF+eiGu0uHNVV1nhEYbJGbtoM
a6Ul/vqYBuDgKzRgBqANucWcMyyb7rxQde0msSj5LsiaUByJXLuPr0p0PLDUmDKyYcrOjClTs9TR
vimn/I3dLQ/X1OQmMWdSPAsGVn7lhkpz4nkxOWCsJ8P5MGWGviNxljR+kDD2MbljN+WRBCE+N0Ma
wg+AleVFYarOcSCST08VeahLS5NMqCPyU0Wkql5CA8RMEwksQiYSejxOMbxj4SLD9aZs19kmvqIM
GYh0OIQ5dFWqfN+yn9LlTGTOhkiipRo73nU15daJSLOpkUXhkrbb+ESb8nByEeldOZBQLSHeNh9J
5rDki/oiH5fo9Rsn0CHhSocEfBGCBwSj586U+TejUTZLqfRJ8aMJHdAnpIDkw730JvyAig5YAqwi
Yn1dQAzBhDaYE/KQTCgEooEgEsqETgRSW1x2E2aBYkkr1hWgjC4rBxuWvUA4pA6pB+JOgXzokir9
hrhmhtzZBI1MKIkMFHI4BDHYCWUNbVNMiIoxoStk0iAtkQBdqgl/oXEALAaKOC2TE0IDUAla46Ze
dO5MGA6zDTwnqoB2WgHyeK5xXSqap8wRCxcYkC/woFxAQ6g3gxINE2IE8cSDoTUhSe6EKlHYA2EK
J7QJ8RWQJ21CoSRLAFINtrqzXsBUhLmoCRfImvyWlEO58SdESzOoN9L8C9DVWxnoRCrgLxQh34UE
ydZJpAKODX4dSsfWhJmVGH9+cB02vnf0VTif0jhindZo5LkIYZinCMBIlKrTqIrTIyDe0lt5fYEk
kdGiMTQr0T1w1uwHgIRjDE8BFf6geR/5GT1roKJwM1I9RU6CZYrsCNUwq4LJRrq8kOUa+iNbNFxG
qYHyF1UtXUxS40IzdIPKuxtTnz6qmJ4HBo9kVJzVwlAPcWvz7yhPD8miw3F1nI0NLEThByukjXPc
7CnPsW7goDnW3ZZA9EOVpJPgrsyq7FP9N/Fnd1mOU5fn1xMv6o+ffmsfyropH96cbPLqDVYK95s6
yNLnf7MzBFyqL2ciKjc7PywRl62H8+ahHN4/VE3M1z356De//crKEgOdQZeqL1BffjbEqz70SPd6
eaAvjoYXQ/7w6y+beyoGL0WPqmWLmtAOsW06qel6vjdGzE2rm3sGl1T1gE5Xm4mpUmgSxy9v4iwF
ft3+XtcOsHdBP1mVt8c2Wn1yl/7sPnz/Eh9v95ZkttdtML6pzv3wXVC4CwIbx71x9/KxfDS4NZpD
nW17PM1kXj7t11zaaz6z8wTvsoZWbN5Sj9d9p9RILe81r8CzAZ68AgrlyemQGerpsze0g+1TJ2qf
ju1X/UTPXlEnXuVrrv/ZNHp6/SYK0jIVWuOPy3x6G3SHBAvmJ9Nk+wpsJ91PdBtwNHvlW/Cdu2Dg
e6rS7qTDm9y5fNJBXn/0z43tW7B1hPiJLh+Kl036ut9bYB9wgQpJL6vAdHCZT28DvrAOFVpUt0mX
xbH9xp/oNgjW8v6vgcNlovQtK/qLt4H9gHqqyWcwTxfHT7cfOJouG9ZzxvcPbwmqcaBrFFDBVLbP
+9nOIFYFeL6Kws3YHv9PO8OzKf0wxSOH97/+QnwgzIv3mxaafMCmaKgOi97T6WAoByBLjsYvt+/B
T7c3gIQJg+b9Ll+1DqBy20wH/pmO3dugEx/Av1ERdNvehp9uOvDk1O2K/SzU+qEoUTsABgRaFJGi
OJ4tjtCYTBBIk9r/9viBLfIVK+jXkHoO2eB+iriDB0qMX8P2//MDj8HotwN8ibLEhHmCc06fE/H3
duTtpBI//31nuk3ZwpNfPmYPT//8y/V9+80vntPjf74NHspNeecP09UOX87ydJMQtP/jrnx4GgJi
r/T444spw9cp8N1B442XbarHgcT9UGRhpv7H5X2Ti7xu4GQzZumzkXU80Pceebbxg83jMNOKN6UC
+57w6uGeex+/eSnn2kZa+34DDOrP/8LYInvzAXuT7OkliPiLVWvfb1hnwed/7j7Mbai878AnG/xL
/c//s3PSqgzDe/+TPtlwR9agAFUm/FE/NPHjmNPDhe5IzLX/BXz9ksfBtqMT/D/+x38+i86eV2tU
wsW/ZtzN53/dPnvb1b9ifp49lOkmuW3udh/pNqbe924Lx1vcbo826UNQ7n7BFr34K77gFZa6U1D0
nz/WXePe5y/mNs7a90rEUrB5MwdZwjl390FvI5m9v4BZ++ZsAzHm8T2fXvxtfLD34A9/6gS4573/
rgfUnmP/eevnngOf8AirN2v2kWBnFf6So+17t8/+lHG+53m/zzjjZOftE6cMJLDvKb/P0vvP/5vu
btgOtWVHVKX3HZ11d5M+r5N/yQP3Hft7Jfjv3u6XIr+vAPO38eAjJvjSn+3GuuITdzHMgL//GwAA
//8=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342899</xdr:colOff>
      <xdr:row>7</xdr:row>
      <xdr:rowOff>23811</xdr:rowOff>
    </xdr:from>
    <xdr:to>
      <xdr:col>11</xdr:col>
      <xdr:colOff>180975</xdr:colOff>
      <xdr:row>30</xdr:row>
      <xdr:rowOff>133350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AC0C7278-0525-19FE-5F86-602304A2DB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899" y="1357311"/>
              <a:ext cx="6543676" cy="44910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11</xdr:col>
      <xdr:colOff>238125</xdr:colOff>
      <xdr:row>20</xdr:row>
      <xdr:rowOff>128586</xdr:rowOff>
    </xdr:from>
    <xdr:to>
      <xdr:col>19</xdr:col>
      <xdr:colOff>533400</xdr:colOff>
      <xdr:row>49</xdr:row>
      <xdr:rowOff>142875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7D87D8E-AFFD-84AD-B217-A1CD5C33C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352426</xdr:colOff>
      <xdr:row>31</xdr:row>
      <xdr:rowOff>0</xdr:rowOff>
    </xdr:from>
    <xdr:to>
      <xdr:col>11</xdr:col>
      <xdr:colOff>171450</xdr:colOff>
      <xdr:row>49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41C000D-CE6B-5CE2-A0BF-036E80478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342900</xdr:colOff>
      <xdr:row>3</xdr:row>
      <xdr:rowOff>19050</xdr:rowOff>
    </xdr:from>
    <xdr:to>
      <xdr:col>3</xdr:col>
      <xdr:colOff>295567</xdr:colOff>
      <xdr:row>5</xdr:row>
      <xdr:rowOff>180975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36854A1-5CFA-73A6-EBD5-B015BD0CBC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duotone>
            <a:prstClr val="black"/>
            <a:schemeClr val="tx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-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8995" t="38603" r="17893" b="42770"/>
        <a:stretch>
          <a:fillRect/>
        </a:stretch>
      </xdr:blipFill>
      <xdr:spPr>
        <a:xfrm>
          <a:off x="342900" y="590550"/>
          <a:ext cx="1781467" cy="542925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4</xdr:row>
      <xdr:rowOff>66675</xdr:rowOff>
    </xdr:from>
    <xdr:to>
      <xdr:col>8</xdr:col>
      <xdr:colOff>581025</xdr:colOff>
      <xdr:row>6</xdr:row>
      <xdr:rowOff>9525</xdr:rowOff>
    </xdr:to>
    <xdr:sp macro="" textlink="analytics!A5">
      <xdr:nvSpPr>
        <xdr:cNvPr id="14" name="Retângulo: Cantos Arredondados 13">
          <a:extLst>
            <a:ext uri="{FF2B5EF4-FFF2-40B4-BE49-F238E27FC236}">
              <a16:creationId xmlns:a16="http://schemas.microsoft.com/office/drawing/2014/main" id="{CE7B2269-89A6-AC5D-91FF-43CDCBA98714}"/>
            </a:ext>
          </a:extLst>
        </xdr:cNvPr>
        <xdr:cNvSpPr/>
      </xdr:nvSpPr>
      <xdr:spPr>
        <a:xfrm>
          <a:off x="2609850" y="828675"/>
          <a:ext cx="2847975" cy="3238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E51BF3C0-842E-4865-A0E3-759B7FE38810}" type="TxLink">
            <a:rPr lang="en-US" sz="2000" b="1" i="0" u="none" strike="noStrike">
              <a:solidFill>
                <a:srgbClr val="00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143.767,80</a:t>
          </a:fld>
          <a:endParaRPr lang="pt-BR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4</xdr:col>
      <xdr:colOff>76200</xdr:colOff>
      <xdr:row>2</xdr:row>
      <xdr:rowOff>150068</xdr:rowOff>
    </xdr:from>
    <xdr:ext cx="3076575" cy="326371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DB9FC893-80D2-8368-0B7D-F021B6814267}"/>
            </a:ext>
          </a:extLst>
        </xdr:cNvPr>
        <xdr:cNvSpPr txBox="1"/>
      </xdr:nvSpPr>
      <xdr:spPr>
        <a:xfrm>
          <a:off x="2514600" y="531068"/>
          <a:ext cx="3076575" cy="3263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600" b="0" i="0">
              <a:latin typeface="Arial" panose="020B0604020202020204" pitchFamily="34" charset="0"/>
              <a:cs typeface="Arial" panose="020B0604020202020204" pitchFamily="34" charset="0"/>
            </a:rPr>
            <a:t>FATURAMENTO BRUTO</a:t>
          </a:r>
        </a:p>
      </xdr:txBody>
    </xdr:sp>
    <xdr:clientData/>
  </xdr:oneCellAnchor>
  <xdr:twoCellAnchor>
    <xdr:from>
      <xdr:col>9</xdr:col>
      <xdr:colOff>76200</xdr:colOff>
      <xdr:row>4</xdr:row>
      <xdr:rowOff>69007</xdr:rowOff>
    </xdr:from>
    <xdr:to>
      <xdr:col>13</xdr:col>
      <xdr:colOff>485775</xdr:colOff>
      <xdr:row>6</xdr:row>
      <xdr:rowOff>11857</xdr:rowOff>
    </xdr:to>
    <xdr:sp macro="" textlink="analytics!A10">
      <xdr:nvSpPr>
        <xdr:cNvPr id="16" name="Retângulo: Cantos Arredondados 15">
          <a:extLst>
            <a:ext uri="{FF2B5EF4-FFF2-40B4-BE49-F238E27FC236}">
              <a16:creationId xmlns:a16="http://schemas.microsoft.com/office/drawing/2014/main" id="{D18BDEBE-6302-4B58-AAE3-F597B5AC0807}"/>
            </a:ext>
          </a:extLst>
        </xdr:cNvPr>
        <xdr:cNvSpPr/>
      </xdr:nvSpPr>
      <xdr:spPr>
        <a:xfrm>
          <a:off x="5562600" y="831007"/>
          <a:ext cx="2847975" cy="3238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647B090E-56C6-4D52-AB5A-910437049715}" type="TxLink">
            <a:rPr lang="en-US" sz="2000" b="1" i="0" u="none" strike="noStrike">
              <a:solidFill>
                <a:srgbClr val="00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126.965,90</a:t>
          </a:fld>
          <a:endParaRPr lang="pt-BR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8</xdr:col>
      <xdr:colOff>590550</xdr:colOff>
      <xdr:row>2</xdr:row>
      <xdr:rowOff>152400</xdr:rowOff>
    </xdr:from>
    <xdr:ext cx="3076575" cy="326371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C93D0910-37BF-4EFB-BDD6-919C691EEB7C}"/>
            </a:ext>
          </a:extLst>
        </xdr:cNvPr>
        <xdr:cNvSpPr txBox="1"/>
      </xdr:nvSpPr>
      <xdr:spPr>
        <a:xfrm>
          <a:off x="5467350" y="533400"/>
          <a:ext cx="3076575" cy="3263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600" b="0" i="0">
              <a:latin typeface="Arial" panose="020B0604020202020204" pitchFamily="34" charset="0"/>
              <a:cs typeface="Arial" panose="020B0604020202020204" pitchFamily="34" charset="0"/>
            </a:rPr>
            <a:t>FATURAMENTO LÍQUIDO</a:t>
          </a:r>
        </a:p>
      </xdr:txBody>
    </xdr:sp>
    <xdr:clientData/>
  </xdr:oneCellAnchor>
  <xdr:twoCellAnchor>
    <xdr:from>
      <xdr:col>14</xdr:col>
      <xdr:colOff>47625</xdr:colOff>
      <xdr:row>4</xdr:row>
      <xdr:rowOff>78532</xdr:rowOff>
    </xdr:from>
    <xdr:to>
      <xdr:col>18</xdr:col>
      <xdr:colOff>457200</xdr:colOff>
      <xdr:row>6</xdr:row>
      <xdr:rowOff>21382</xdr:rowOff>
    </xdr:to>
    <xdr:sp macro="" textlink="analytics!A15">
      <xdr:nvSpPr>
        <xdr:cNvPr id="18" name="Retângulo: Cantos Arredondados 17">
          <a:extLst>
            <a:ext uri="{FF2B5EF4-FFF2-40B4-BE49-F238E27FC236}">
              <a16:creationId xmlns:a16="http://schemas.microsoft.com/office/drawing/2014/main" id="{C4283740-5DCB-4FF5-8092-159F6BEF2469}"/>
            </a:ext>
          </a:extLst>
        </xdr:cNvPr>
        <xdr:cNvSpPr/>
      </xdr:nvSpPr>
      <xdr:spPr>
        <a:xfrm>
          <a:off x="8582025" y="840532"/>
          <a:ext cx="2847975" cy="3238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73C89E1C-9664-40D0-BB16-C1A805666509}" type="TxLink">
            <a:rPr lang="en-US" sz="2000" b="1" i="0" u="none" strike="noStrike">
              <a:solidFill>
                <a:srgbClr val="00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287,54</a:t>
          </a:fld>
          <a:endParaRPr lang="pt-BR" sz="4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13</xdr:col>
      <xdr:colOff>561975</xdr:colOff>
      <xdr:row>2</xdr:row>
      <xdr:rowOff>161925</xdr:rowOff>
    </xdr:from>
    <xdr:ext cx="3076575" cy="326371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3DA2619A-3195-4D09-B752-22C397A3E05B}"/>
            </a:ext>
          </a:extLst>
        </xdr:cNvPr>
        <xdr:cNvSpPr txBox="1"/>
      </xdr:nvSpPr>
      <xdr:spPr>
        <a:xfrm>
          <a:off x="8486775" y="542925"/>
          <a:ext cx="3076575" cy="3263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600" b="0" i="0">
              <a:latin typeface="Arial" panose="020B0604020202020204" pitchFamily="34" charset="0"/>
              <a:cs typeface="Arial" panose="020B0604020202020204" pitchFamily="34" charset="0"/>
            </a:rPr>
            <a:t>TICKET MÉDIO</a:t>
          </a:r>
        </a:p>
      </xdr:txBody>
    </xdr:sp>
    <xdr:clientData/>
  </xdr:oneCellAnchor>
  <xdr:twoCellAnchor>
    <xdr:from>
      <xdr:col>19</xdr:col>
      <xdr:colOff>0</xdr:colOff>
      <xdr:row>4</xdr:row>
      <xdr:rowOff>69007</xdr:rowOff>
    </xdr:from>
    <xdr:to>
      <xdr:col>23</xdr:col>
      <xdr:colOff>409575</xdr:colOff>
      <xdr:row>6</xdr:row>
      <xdr:rowOff>11857</xdr:rowOff>
    </xdr:to>
    <xdr:sp macro="" textlink="analytics!G6">
      <xdr:nvSpPr>
        <xdr:cNvPr id="20" name="Retângulo: Cantos Arredondados 19">
          <a:extLst>
            <a:ext uri="{FF2B5EF4-FFF2-40B4-BE49-F238E27FC236}">
              <a16:creationId xmlns:a16="http://schemas.microsoft.com/office/drawing/2014/main" id="{0EF41338-EE0A-4DE1-BAA3-3CF1C25BF15C}"/>
            </a:ext>
          </a:extLst>
        </xdr:cNvPr>
        <xdr:cNvSpPr/>
      </xdr:nvSpPr>
      <xdr:spPr>
        <a:xfrm>
          <a:off x="11582400" y="831007"/>
          <a:ext cx="2847975" cy="3238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EE41E7A7-69B3-41D6-970E-D5BE62699DAB}" type="TxLink">
            <a:rPr lang="en-US" sz="2000" b="1" i="0" u="none" strike="noStrike">
              <a:solidFill>
                <a:srgbClr val="00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3,40%</a:t>
          </a:fld>
          <a:endParaRPr lang="pt-BR" sz="6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18</xdr:col>
      <xdr:colOff>514350</xdr:colOff>
      <xdr:row>2</xdr:row>
      <xdr:rowOff>152400</xdr:rowOff>
    </xdr:from>
    <xdr:ext cx="3076575" cy="326371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B9F867AB-A383-4934-BC6F-273D883DC984}"/>
            </a:ext>
          </a:extLst>
        </xdr:cNvPr>
        <xdr:cNvSpPr txBox="1"/>
      </xdr:nvSpPr>
      <xdr:spPr>
        <a:xfrm>
          <a:off x="11487150" y="533400"/>
          <a:ext cx="3076575" cy="3263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600" b="0" i="0">
              <a:latin typeface="Arial" panose="020B0604020202020204" pitchFamily="34" charset="0"/>
              <a:cs typeface="Arial" panose="020B0604020202020204" pitchFamily="34" charset="0"/>
            </a:rPr>
            <a:t>TAXA DE INADIMPLÊNCIA</a:t>
          </a:r>
        </a:p>
      </xdr:txBody>
    </xdr:sp>
    <xdr:clientData/>
  </xdr:oneCellAnchor>
  <xdr:twoCellAnchor>
    <xdr:from>
      <xdr:col>14</xdr:col>
      <xdr:colOff>323850</xdr:colOff>
      <xdr:row>7</xdr:row>
      <xdr:rowOff>23812</xdr:rowOff>
    </xdr:from>
    <xdr:to>
      <xdr:col>19</xdr:col>
      <xdr:colOff>533400</xdr:colOff>
      <xdr:row>20</xdr:row>
      <xdr:rowOff>47625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3E7B7045-ABAF-10C7-5CF6-5B818D452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11</xdr:col>
      <xdr:colOff>228600</xdr:colOff>
      <xdr:row>7</xdr:row>
      <xdr:rowOff>28575</xdr:rowOff>
    </xdr:from>
    <xdr:to>
      <xdr:col>14</xdr:col>
      <xdr:colOff>228600</xdr:colOff>
      <xdr:row>20</xdr:row>
      <xdr:rowOff>66675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4" name="UF 1">
              <a:extLst>
                <a:ext uri="{FF2B5EF4-FFF2-40B4-BE49-F238E27FC236}">
                  <a16:creationId xmlns:a16="http://schemas.microsoft.com/office/drawing/2014/main" id="{B69DECE4-C95B-45DD-8756-BEDE4C748E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F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4200" y="1362075"/>
              <a:ext cx="1828800" cy="251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>
    <xdr:from>
      <xdr:col>19</xdr:col>
      <xdr:colOff>600075</xdr:colOff>
      <xdr:row>7</xdr:row>
      <xdr:rowOff>33336</xdr:rowOff>
    </xdr:from>
    <xdr:to>
      <xdr:col>28</xdr:col>
      <xdr:colOff>380999</xdr:colOff>
      <xdr:row>49</xdr:row>
      <xdr:rowOff>142875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E24C8DED-6721-B065-1459-B3AFAA717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y Raquel Quinderé" refreshedDate="46314.794411921299" createdVersion="8" refreshedVersion="8" minRefreshableVersion="3" recordCount="500" xr:uid="{60923029-022E-423F-94E2-97D598986960}">
  <cacheSource type="worksheet">
    <worksheetSource ref="A1:N501" sheet="sales"/>
  </cacheSource>
  <cacheFields count="16">
    <cacheField name="ID_Pedido" numFmtId="0">
      <sharedItems/>
    </cacheField>
    <cacheField name="Data_Pedido" numFmtId="22">
      <sharedItems containsSemiMixedTypes="0" containsNonDate="0" containsDate="1" containsString="0" minDate="2026-04-01T14:52:25" maxDate="2026-10-19T22:45:27" count="500">
        <d v="2026-09-11T04:03:12"/>
        <d v="2026-06-10T08:54:58"/>
        <d v="2026-10-06T03:43:54"/>
        <d v="2026-08-18T03:09:55"/>
        <d v="2026-04-09T01:05:05"/>
        <d v="2026-05-30T18:23:57"/>
        <d v="2026-08-22T07:14:22"/>
        <d v="2026-05-27T16:21:18"/>
        <d v="2026-04-02T05:48:46"/>
        <d v="2026-06-27T10:07:01"/>
        <d v="2026-10-13T12:15:18"/>
        <d v="2026-07-07T03:31:16"/>
        <d v="2026-09-02T09:37:51"/>
        <d v="2026-10-04T16:43:37"/>
        <d v="2026-07-06T02:52:08"/>
        <d v="2026-09-08T22:31:10"/>
        <d v="2026-08-26T07:00:03"/>
        <d v="2026-04-12T08:17:51"/>
        <d v="2026-04-21T08:28:32"/>
        <d v="2026-07-07T10:07:14"/>
        <d v="2026-07-03T05:55:19"/>
        <d v="2026-05-24T09:43:13"/>
        <d v="2026-09-03T23:07:07"/>
        <d v="2026-05-12T16:49:49"/>
        <d v="2026-09-11T20:16:40"/>
        <d v="2026-06-23T02:02:11"/>
        <d v="2026-06-20T14:36:21"/>
        <d v="2026-05-25T20:39:01"/>
        <d v="2026-06-20T07:44:29"/>
        <d v="2026-07-11T23:24:19"/>
        <d v="2026-06-07T05:05:01"/>
        <d v="2026-10-09T21:17:02"/>
        <d v="2026-07-12T13:10:47"/>
        <d v="2026-08-09T17:58:06"/>
        <d v="2026-04-29T05:33:53"/>
        <d v="2026-09-22T15:22:13"/>
        <d v="2026-07-08T13:53:39"/>
        <d v="2026-08-14T09:09:13"/>
        <d v="2026-04-03T04:10:14"/>
        <d v="2026-10-10T09:42:53"/>
        <d v="2026-06-27T04:03:41"/>
        <d v="2026-05-11T16:31:10"/>
        <d v="2026-08-07T06:30:16"/>
        <d v="2026-09-08T10:51:57"/>
        <d v="2026-05-10T13:36:49"/>
        <d v="2026-08-17T19:18:34"/>
        <d v="2026-09-01T11:48:07"/>
        <d v="2026-04-29T13:12:56"/>
        <d v="2026-06-01T02:06:32"/>
        <d v="2026-04-21T03:07:06"/>
        <d v="2026-04-18T19:23:42"/>
        <d v="2026-05-03T17:18:16"/>
        <d v="2026-05-13T09:39:01"/>
        <d v="2026-07-18T07:42:40"/>
        <d v="2026-10-11T07:19:25"/>
        <d v="2026-07-12T23:39:40"/>
        <d v="2026-08-11T16:26:17"/>
        <d v="2026-05-28T02:19:52"/>
        <d v="2026-08-29T20:10:03"/>
        <d v="2026-04-02T02:35:05"/>
        <d v="2026-04-16T08:20:07"/>
        <d v="2026-06-24T02:34:47"/>
        <d v="2026-06-11T17:40:24"/>
        <d v="2026-10-03T20:47:27"/>
        <d v="2026-06-02T17:13:13"/>
        <d v="2026-05-19T03:26:03"/>
        <d v="2026-07-20T12:53:58"/>
        <d v="2026-07-29T01:58:20"/>
        <d v="2026-09-13T03:34:59"/>
        <d v="2026-10-04T12:21:13"/>
        <d v="2026-06-03T06:58:32"/>
        <d v="2026-07-24T05:06:13"/>
        <d v="2026-06-11T16:50:37"/>
        <d v="2026-07-23T20:02:12"/>
        <d v="2026-09-14T19:40:55"/>
        <d v="2026-04-24T08:36:22"/>
        <d v="2026-08-03T17:31:32"/>
        <d v="2026-04-16T05:59:39"/>
        <d v="2026-07-09T09:39:20"/>
        <d v="2026-06-13T15:24:04"/>
        <d v="2026-10-18T20:14:05"/>
        <d v="2026-08-03T05:38:09"/>
        <d v="2026-05-26T02:07:45"/>
        <d v="2026-08-17T02:13:09"/>
        <d v="2026-04-15T01:49:32"/>
        <d v="2026-08-07T19:20:15"/>
        <d v="2026-08-09T02:55:00"/>
        <d v="2026-04-18T21:39:52"/>
        <d v="2026-07-13T04:21:53"/>
        <d v="2026-06-03T21:04:40"/>
        <d v="2026-09-06T02:59:05"/>
        <d v="2026-08-28T20:34:45"/>
        <d v="2026-06-06T07:26:12"/>
        <d v="2026-06-20T08:41:25"/>
        <d v="2026-05-04T23:30:07"/>
        <d v="2026-06-20T02:38:28"/>
        <d v="2026-09-07T20:29:52"/>
        <d v="2026-08-16T07:45:38"/>
        <d v="2026-05-04T12:42:25"/>
        <d v="2026-06-02T13:27:14"/>
        <d v="2026-07-22T19:46:40"/>
        <d v="2026-09-04T23:48:37"/>
        <d v="2026-09-18T20:11:32"/>
        <d v="2026-05-05T09:37:44"/>
        <d v="2026-10-08T20:08:32"/>
        <d v="2026-06-12T22:01:16"/>
        <d v="2026-05-23T23:05:30"/>
        <d v="2026-08-08T17:47:12"/>
        <d v="2026-04-24T23:05:36"/>
        <d v="2026-04-12T00:07:44"/>
        <d v="2026-09-11T09:32:15"/>
        <d v="2026-07-23T20:05:09"/>
        <d v="2026-08-22T00:21:07"/>
        <d v="2026-09-24T05:25:36"/>
        <d v="2026-07-04T21:12:30"/>
        <d v="2026-07-20T04:38:24"/>
        <d v="2026-07-03T01:27:09"/>
        <d v="2026-05-24T09:05:06"/>
        <d v="2026-06-30T20:23:05"/>
        <d v="2026-09-06T05:37:37"/>
        <d v="2026-05-12T06:26:46"/>
        <d v="2026-04-07T06:31:49"/>
        <d v="2026-10-18T14:59:24"/>
        <d v="2026-10-06T09:02:07"/>
        <d v="2026-10-19T03:56:08"/>
        <d v="2026-07-30T08:05:54"/>
        <d v="2026-06-29T11:06:41"/>
        <d v="2026-05-28T00:51:41"/>
        <d v="2026-07-12T11:57:05"/>
        <d v="2026-10-15T10:09:45"/>
        <d v="2026-08-09T14:33:06"/>
        <d v="2026-06-24T01:00:17"/>
        <d v="2026-05-16T21:08:19"/>
        <d v="2026-04-10T03:56:48"/>
        <d v="2026-06-28T11:25:14"/>
        <d v="2026-08-09T04:12:37"/>
        <d v="2026-06-05T01:36:57"/>
        <d v="2026-04-01T18:55:46"/>
        <d v="2026-09-23T07:10:25"/>
        <d v="2026-04-18T12:01:19"/>
        <d v="2026-09-17T04:32:14"/>
        <d v="2026-08-08T11:15:38"/>
        <d v="2026-06-23T14:39:03"/>
        <d v="2026-08-20T04:38:03"/>
        <d v="2026-09-18T13:48:15"/>
        <d v="2026-09-05T20:43:13"/>
        <d v="2026-08-19T00:00:53"/>
        <d v="2026-05-24T15:39:06"/>
        <d v="2026-07-29T16:05:05"/>
        <d v="2026-08-09T17:13:41"/>
        <d v="2026-09-16T03:05:14"/>
        <d v="2026-09-17T23:02:40"/>
        <d v="2026-04-24T08:33:04"/>
        <d v="2026-05-28T07:15:00"/>
        <d v="2026-04-12T08:54:52"/>
        <d v="2026-10-14T02:39:05"/>
        <d v="2026-09-09T20:57:34"/>
        <d v="2026-09-26T13:58:48"/>
        <d v="2026-06-02T05:22:22"/>
        <d v="2026-04-02T03:52:50"/>
        <d v="2026-05-27T06:24:13"/>
        <d v="2026-04-13T20:17:40"/>
        <d v="2026-07-26T04:51:17"/>
        <d v="2026-09-18T19:20:16"/>
        <d v="2026-06-21T16:06:48"/>
        <d v="2026-08-19T16:14:06"/>
        <d v="2026-10-08T17:16:56"/>
        <d v="2026-10-10T09:00:06"/>
        <d v="2026-06-10T18:58:47"/>
        <d v="2026-06-01T09:59:52"/>
        <d v="2026-09-30T10:24:10"/>
        <d v="2026-06-25T11:38:24"/>
        <d v="2026-05-06T05:29:29"/>
        <d v="2026-09-25T05:33:48"/>
        <d v="2026-04-17T15:06:17"/>
        <d v="2026-08-17T16:57:49"/>
        <d v="2026-05-23T15:17:49"/>
        <d v="2026-09-26T00:42:40"/>
        <d v="2026-07-07T17:21:58"/>
        <d v="2026-06-16T14:11:56"/>
        <d v="2026-08-16T19:53:02"/>
        <d v="2026-08-03T07:59:20"/>
        <d v="2026-08-03T01:03:24"/>
        <d v="2026-09-19T14:43:14"/>
        <d v="2026-07-29T04:38:48"/>
        <d v="2026-04-07T14:20:45"/>
        <d v="2026-04-22T23:24:06"/>
        <d v="2026-07-28T06:36:59"/>
        <d v="2026-07-07T11:55:06"/>
        <d v="2026-06-23T12:17:16"/>
        <d v="2026-06-11T15:20:55"/>
        <d v="2026-07-30T00:42:20"/>
        <d v="2026-04-14T12:44:30"/>
        <d v="2026-04-18T23:43:46"/>
        <d v="2026-06-03T07:15:30"/>
        <d v="2026-09-07T05:32:53"/>
        <d v="2026-07-31T04:09:53"/>
        <d v="2026-07-29T09:19:46"/>
        <d v="2026-05-13T22:03:35"/>
        <d v="2026-10-01T04:10:12"/>
        <d v="2026-06-19T03:56:08"/>
        <d v="2026-06-19T20:57:50"/>
        <d v="2026-07-11T07:13:15"/>
        <d v="2026-09-24T22:50:13"/>
        <d v="2026-09-26T10:58:49"/>
        <d v="2026-08-23T01:29:43"/>
        <d v="2026-07-19T13:29:31"/>
        <d v="2026-09-13T12:25:25"/>
        <d v="2026-08-04T03:50:33"/>
        <d v="2026-09-10T16:44:18"/>
        <d v="2026-07-21T06:24:46"/>
        <d v="2026-09-14T09:50:00"/>
        <d v="2026-10-16T17:36:12"/>
        <d v="2026-10-05T21:34:16"/>
        <d v="2026-06-02T03:09:19"/>
        <d v="2026-06-02T16:55:10"/>
        <d v="2026-06-26T01:02:41"/>
        <d v="2026-05-17T17:45:04"/>
        <d v="2026-06-06T12:23:28"/>
        <d v="2026-09-27T10:03:31"/>
        <d v="2026-08-11T06:57:22"/>
        <d v="2026-10-02T14:47:51"/>
        <d v="2026-09-24T17:20:02"/>
        <d v="2026-07-24T00:37:40"/>
        <d v="2026-05-27T14:43:25"/>
        <d v="2026-06-18T21:10:25"/>
        <d v="2026-08-20T19:19:48"/>
        <d v="2026-10-08T20:02:20"/>
        <d v="2026-09-27T16:31:13"/>
        <d v="2026-06-04T08:23:37"/>
        <d v="2026-05-20T11:29:19"/>
        <d v="2026-08-16T06:44:27"/>
        <d v="2026-10-07T17:37:44"/>
        <d v="2026-04-26T07:04:03"/>
        <d v="2026-07-02T06:31:59"/>
        <d v="2026-09-29T19:26:50"/>
        <d v="2026-04-12T01:59:06"/>
        <d v="2026-09-26T04:35:51"/>
        <d v="2026-04-27T00:26:47"/>
        <d v="2026-07-30T17:25:46"/>
        <d v="2026-05-18T01:52:14"/>
        <d v="2026-04-30T02:22:44"/>
        <d v="2026-04-19T21:00:31"/>
        <d v="2026-04-14T05:31:27"/>
        <d v="2026-04-22T09:02:10"/>
        <d v="2026-09-03T21:42:15"/>
        <d v="2026-10-16T19:01:34"/>
        <d v="2026-07-23T10:49:34"/>
        <d v="2026-07-19T11:07:06"/>
        <d v="2026-04-16T22:11:45"/>
        <d v="2026-10-13T07:33:55"/>
        <d v="2026-06-07T02:57:21"/>
        <d v="2026-05-15T20:05:50"/>
        <d v="2026-04-01T14:52:25"/>
        <d v="2026-06-14T01:11:18"/>
        <d v="2026-09-28T10:17:36"/>
        <d v="2026-04-19T08:29:55"/>
        <d v="2026-10-19T22:45:27"/>
        <d v="2026-07-18T04:10:43"/>
        <d v="2026-09-13T05:25:28"/>
        <d v="2026-05-07T02:35:59"/>
        <d v="2026-06-18T21:39:53"/>
        <d v="2026-06-13T15:59:20"/>
        <d v="2026-09-24T11:04:17"/>
        <d v="2026-06-09T18:13:17"/>
        <d v="2026-07-22T02:55:43"/>
        <d v="2026-07-20T11:44:07"/>
        <d v="2026-04-07T03:19:30"/>
        <d v="2026-10-13T09:48:45"/>
        <d v="2026-10-13T06:22:42"/>
        <d v="2026-06-11T06:36:28"/>
        <d v="2026-09-10T17:54:11"/>
        <d v="2026-07-30T12:40:07"/>
        <d v="2026-06-22T03:48:30"/>
        <d v="2026-06-24T14:59:15"/>
        <d v="2026-06-13T14:34:48"/>
        <d v="2026-07-26T03:12:22"/>
        <d v="2026-06-22T04:13:14"/>
        <d v="2026-08-10T00:02:30"/>
        <d v="2026-07-15T01:58:24"/>
        <d v="2026-09-07T18:08:58"/>
        <d v="2026-10-12T01:52:44"/>
        <d v="2026-08-19T04:46:12"/>
        <d v="2026-07-22T17:38:52"/>
        <d v="2026-09-09T22:10:06"/>
        <d v="2026-09-29T05:45:58"/>
        <d v="2026-08-20T14:51:16"/>
        <d v="2026-04-30T16:48:02"/>
        <d v="2026-09-13T05:36:21"/>
        <d v="2026-08-09T09:57:18"/>
        <d v="2026-07-30T08:52:26"/>
        <d v="2026-05-08T13:57:57"/>
        <d v="2026-08-09T04:58:12"/>
        <d v="2026-06-10T15:06:27"/>
        <d v="2026-06-08T00:05:36"/>
        <d v="2026-06-16T21:22:11"/>
        <d v="2026-08-04T05:24:36"/>
        <d v="2026-06-28T12:06:13"/>
        <d v="2026-07-26T11:42:56"/>
        <d v="2026-09-26T08:41:40"/>
        <d v="2026-05-30T14:57:21"/>
        <d v="2026-10-08T17:13:13"/>
        <d v="2026-07-08T23:44:21"/>
        <d v="2026-04-10T04:35:47"/>
        <d v="2026-06-24T03:39:14"/>
        <d v="2026-04-26T19:08:57"/>
        <d v="2026-04-04T05:14:54"/>
        <d v="2026-05-10T02:43:27"/>
        <d v="2026-06-26T22:41:31"/>
        <d v="2026-09-14T02:55:27"/>
        <d v="2026-09-20T19:25:42"/>
        <d v="2026-09-08T17:45:56"/>
        <d v="2026-04-10T22:28:51"/>
        <d v="2026-09-09T10:27:47"/>
        <d v="2026-04-24T15:48:01"/>
        <d v="2026-10-12T23:04:26"/>
        <d v="2026-07-23T06:03:25"/>
        <d v="2026-04-08T01:40:28"/>
        <d v="2026-06-15T13:03:04"/>
        <d v="2026-05-08T08:53:27"/>
        <d v="2026-08-23T06:33:20"/>
        <d v="2026-04-21T22:11:27"/>
        <d v="2026-09-06T08:46:06"/>
        <d v="2026-05-07T08:27:13"/>
        <d v="2026-06-05T16:43:56"/>
        <d v="2026-07-29T10:28:20"/>
        <d v="2026-04-19T16:04:58"/>
        <d v="2026-08-29T10:53:30"/>
        <d v="2026-09-24T09:06:20"/>
        <d v="2026-05-21T14:00:22"/>
        <d v="2026-04-28T08:38:11"/>
        <d v="2026-08-26T10:46:20"/>
        <d v="2026-04-06T23:57:55"/>
        <d v="2026-04-03T20:36:17"/>
        <d v="2026-09-03T18:05:07"/>
        <d v="2026-10-16T08:22:42"/>
        <d v="2026-05-27T23:10:42"/>
        <d v="2026-06-05T00:00:00"/>
        <d v="2026-09-08T03:32:15"/>
        <d v="2026-09-13T01:26:07"/>
        <d v="2026-04-09T21:06:05"/>
        <d v="2026-04-24T10:44:40"/>
        <d v="2026-07-16T06:23:41"/>
        <d v="2026-10-19T19:38:21"/>
        <d v="2026-08-14T18:16:11"/>
        <d v="2026-05-13T09:21:21"/>
        <d v="2026-06-15T12:19:56"/>
        <d v="2026-07-29T02:44:29"/>
        <d v="2026-09-21T14:28:09"/>
        <d v="2026-07-03T03:17:16"/>
        <d v="2026-04-04T09:37:43"/>
        <d v="2026-07-26T13:25:11"/>
        <d v="2026-09-20T09:32:42"/>
        <d v="2026-09-11T13:31:29"/>
        <d v="2026-05-30T17:09:57"/>
        <d v="2026-08-22T11:56:32"/>
        <d v="2026-05-27T23:34:49"/>
        <d v="2026-07-28T11:00:08"/>
        <d v="2026-04-30T05:05:20"/>
        <d v="2026-06-17T17:56:09"/>
        <d v="2026-05-31T19:34:17"/>
        <d v="2026-07-26T13:30:29"/>
        <d v="2026-09-26T19:40:04"/>
        <d v="2026-10-08T05:37:33"/>
        <d v="2026-09-15T03:36:18"/>
        <d v="2026-09-05T14:51:32"/>
        <d v="2026-04-09T13:29:26"/>
        <d v="2026-07-23T08:35:47"/>
        <d v="2026-04-26T13:22:27"/>
        <d v="2026-04-16T14:29:44"/>
        <d v="2026-05-02T16:33:20"/>
        <d v="2026-05-25T23:21:49"/>
        <d v="2026-04-06T01:50:29"/>
        <d v="2026-06-02T04:35:05"/>
        <d v="2026-04-18T20:10:41"/>
        <d v="2026-05-30T11:57:44"/>
        <d v="2026-10-19T21:41:56"/>
        <d v="2026-05-08T04:43:58"/>
        <d v="2026-05-15T04:00:08"/>
        <d v="2026-05-04T00:32:27"/>
        <d v="2026-08-29T11:47:17"/>
        <d v="2026-06-07T01:54:28"/>
        <d v="2026-07-17T19:09:15"/>
        <d v="2026-04-17T17:20:22"/>
        <d v="2026-08-10T21:36:52"/>
        <d v="2026-08-07T08:03:58"/>
        <d v="2026-04-12T23:59:23"/>
        <d v="2026-07-27T23:25:23"/>
        <d v="2026-04-16T17:26:21"/>
        <d v="2026-07-19T03:55:50"/>
        <d v="2026-04-19T02:56:29"/>
        <d v="2026-04-17T04:35:40"/>
        <d v="2026-09-10T21:18:44"/>
        <d v="2026-07-07T21:45:01"/>
        <d v="2026-07-26T18:24:23"/>
        <d v="2026-04-26T04:09:56"/>
        <d v="2026-07-20T16:26:26"/>
        <d v="2026-07-15T12:20:24"/>
        <d v="2026-07-12T15:08:44"/>
        <d v="2026-06-20T15:32:16"/>
        <d v="2026-06-05T13:37:40"/>
        <d v="2026-09-23T17:16:03"/>
        <d v="2026-04-22T03:23:39"/>
        <d v="2026-10-08T13:34:03"/>
        <d v="2026-08-21T02:11:01"/>
        <d v="2026-08-22T12:00:07"/>
        <d v="2026-07-15T12:52:26"/>
        <d v="2026-10-10T15:23:55"/>
        <d v="2026-06-13T21:51:36"/>
        <d v="2026-04-27T21:02:28"/>
        <d v="2026-05-10T23:54:39"/>
        <d v="2026-04-28T12:44:50"/>
        <d v="2026-07-04T04:10:58"/>
        <d v="2026-08-25T08:14:03"/>
        <d v="2026-08-22T22:38:10"/>
        <d v="2026-09-12T20:16:12"/>
        <d v="2026-04-08T06:34:07"/>
        <d v="2026-06-26T12:46:49"/>
        <d v="2026-05-07T20:37:08"/>
        <d v="2026-04-18T05:09:55"/>
        <d v="2026-04-08T03:20:26"/>
        <d v="2026-05-26T13:41:48"/>
        <d v="2026-06-27T05:43:51"/>
        <d v="2026-10-02T11:48:37"/>
        <d v="2026-04-14T05:39:52"/>
        <d v="2026-04-13T02:58:13"/>
        <d v="2026-09-17T15:26:16"/>
        <d v="2026-07-16T09:56:44"/>
        <d v="2026-06-28T15:39:09"/>
        <d v="2026-09-21T21:35:43"/>
        <d v="2026-09-18T11:13:45"/>
        <d v="2026-07-11T21:49:14"/>
        <d v="2026-05-23T10:58:27"/>
        <d v="2026-10-14T04:59:47"/>
        <d v="2026-06-14T11:56:47"/>
        <d v="2026-08-06T15:40:46"/>
        <d v="2026-07-07T19:23:26"/>
        <d v="2026-08-07T20:20:33"/>
        <d v="2026-06-30T02:37:27"/>
        <d v="2026-04-11T15:52:56"/>
        <d v="2026-04-20T11:23:53"/>
        <d v="2026-08-25T14:43:28"/>
        <d v="2026-06-14T04:11:36"/>
        <d v="2026-06-23T06:15:27"/>
        <d v="2026-07-27T13:10:28"/>
        <d v="2026-04-28T08:51:31"/>
        <d v="2026-08-13T02:51:48"/>
        <d v="2026-10-08T12:21:40"/>
        <d v="2026-10-17T06:07:17"/>
        <d v="2026-08-14T18:34:00"/>
        <d v="2026-06-29T23:29:59"/>
        <d v="2026-05-31T03:44:34"/>
        <d v="2026-05-21T06:19:00"/>
        <d v="2026-10-12T23:51:58"/>
        <d v="2026-10-15T22:51:46"/>
        <d v="2026-10-11T20:31:29"/>
        <d v="2026-07-24T20:33:09"/>
        <d v="2026-09-08T11:30:36"/>
        <d v="2026-04-18T17:04:22"/>
        <d v="2026-06-10T21:31:58"/>
        <d v="2026-08-08T02:42:04"/>
        <d v="2026-07-25T01:22:09"/>
        <d v="2026-06-13T02:47:37"/>
        <d v="2026-09-05T21:37:47"/>
        <d v="2026-07-28T21:07:44"/>
        <d v="2026-04-11T16:22:27"/>
        <d v="2026-09-14T06:51:12"/>
        <d v="2026-08-07T05:29:33"/>
        <d v="2026-07-25T03:46:06"/>
        <d v="2026-09-30T03:04:13"/>
        <d v="2026-05-15T01:25:30"/>
        <d v="2026-07-22T15:59:55"/>
        <d v="2026-09-04T05:46:47"/>
        <d v="2026-06-12T14:06:19"/>
        <d v="2026-09-21T21:46:06"/>
        <d v="2026-09-13T12:11:03"/>
        <d v="2026-04-25T20:18:53"/>
        <d v="2026-06-12T09:10:29"/>
        <d v="2026-06-25T02:58:02"/>
        <d v="2026-06-29T11:17:42"/>
        <d v="2026-05-04T21:39:53"/>
        <d v="2026-06-19T20:20:59"/>
        <d v="2026-05-03T19:09:55"/>
        <d v="2026-08-09T13:10:25"/>
        <d v="2026-06-19T06:33:47"/>
        <d v="2026-06-27T17:42:16"/>
        <d v="2026-05-06T05:38:28"/>
        <d v="2026-10-19T03:40:56"/>
        <d v="2026-09-17T12:15:40"/>
        <d v="2026-05-04T21:44:42"/>
        <d v="2026-05-12T06:35:03"/>
        <d v="2026-10-15T22:44:45"/>
        <d v="2026-10-02T15:56:06"/>
        <d v="2026-07-03T08:38:53"/>
        <d v="2026-09-04T10:22:26"/>
        <d v="2026-10-18T16:20:41"/>
        <d v="2026-06-19T17:04:34"/>
        <d v="2026-07-04T20:46:06"/>
        <d v="2026-10-14T10:15:32"/>
        <d v="2026-08-07T19:12:15"/>
      </sharedItems>
      <fieldGroup par="15"/>
    </cacheField>
    <cacheField name="ID_Cliente" numFmtId="0">
      <sharedItems/>
    </cacheField>
    <cacheField name="Estado" numFmtId="0">
      <sharedItems count="10">
        <s v="RJ"/>
        <s v="SP"/>
        <s v="MG"/>
        <s v="RS"/>
        <s v="PR"/>
        <s v="PE"/>
        <s v="DF"/>
        <s v="SC"/>
        <s v="BA"/>
        <s v="GO"/>
      </sharedItems>
    </cacheField>
    <cacheField name="Categoria" numFmtId="0">
      <sharedItems count="4">
        <s v="Acessórios"/>
        <s v="Camisetas"/>
        <s v="Moletons"/>
        <s v="Calças"/>
      </sharedItems>
    </cacheField>
    <cacheField name="Produto" numFmtId="0">
      <sharedItems count="13">
        <s v="Shoulder Bag Tactical ZOVY"/>
        <s v="Camiseta Oversized Minimalist White"/>
        <s v="Camiseta Graphic Streetwear Off-White"/>
        <s v="Camiseta Oversized Basic Black"/>
        <s v="Camiseta Heavyweight Urban Grey"/>
        <s v="Hoodie Boxy Fit Charcoal"/>
        <s v="Calça Cargo Wide Leg Black"/>
        <s v="Calça Sweatpants Oversized Grey"/>
        <s v="Hoodie Oversized Essential Black"/>
        <s v="Moletom Crewneck ZOVY Arch"/>
        <s v="Calça Denim Straight Fit Dark Wash"/>
        <s v="Boné Dad Hat ZOVY Black"/>
        <s v="Benei Beanie Streetwear Grey"/>
      </sharedItems>
    </cacheField>
    <cacheField name="Quantidade" numFmtId="0">
      <sharedItems containsSemiMixedTypes="0" containsString="0" containsNumber="1" containsInteger="1" minValue="1" maxValue="4"/>
    </cacheField>
    <cacheField name="Preco_Unitario" numFmtId="0">
      <sharedItems containsSemiMixedTypes="0" containsString="0" containsNumber="1" minValue="79.900000000000006" maxValue="319.89999999999998"/>
    </cacheField>
    <cacheField name="Custo_Unitario" numFmtId="0">
      <sharedItems containsSemiMixedTypes="0" containsString="0" containsNumber="1" containsInteger="1" minValue="22" maxValue="105"/>
    </cacheField>
    <cacheField name="Valor_Total" numFmtId="0">
      <sharedItems containsSemiMixedTypes="0" containsString="0" containsNumber="1" minValue="79.900000000000006" maxValue="1279.5999999999999" count="42">
        <n v="259.8"/>
        <n v="279.8"/>
        <n v="169.9"/>
        <n v="139.9"/>
        <n v="159.9"/>
        <n v="319.89999999999998"/>
        <n v="749.7"/>
        <n v="219.9"/>
        <n v="289.89999999999998"/>
        <n v="499.8"/>
        <n v="259.89999999999998"/>
        <n v="419.7"/>
        <n v="279.89999999999998"/>
        <n v="519.79999999999995"/>
        <n v="509.7"/>
        <n v="839.7"/>
        <n v="559.79999999999995"/>
        <n v="319.8"/>
        <n v="579.79999999999995"/>
        <n v="89.9"/>
        <n v="389.7"/>
        <n v="129.9"/>
        <n v="439.8"/>
        <n v="269.7"/>
        <n v="249.9"/>
        <n v="179.8"/>
        <n v="339.8"/>
        <n v="79.900000000000006"/>
        <n v="479.7"/>
        <n v="319.60000000000002"/>
        <n v="639.79999999999995"/>
        <n v="659.7"/>
        <n v="559.6"/>
        <n v="999.6"/>
        <n v="779.7"/>
        <n v="159.80000000000001"/>
        <n v="239.7"/>
        <n v="679.6"/>
        <n v="959.7"/>
        <n v="1279.5999999999999"/>
        <n v="1119.5999999999999"/>
        <n v="879.6"/>
      </sharedItems>
    </cacheField>
    <cacheField name="Custo_Total" numFmtId="0">
      <sharedItems containsSemiMixedTypes="0" containsString="0" containsNumber="1" containsInteger="1" minValue="22" maxValue="420"/>
    </cacheField>
    <cacheField name="Margem_Lucro" numFmtId="0">
      <sharedItems containsSemiMixedTypes="0" containsString="0" containsNumber="1" minValue="57.9" maxValue="859.6"/>
    </cacheField>
    <cacheField name="Forma_Pagamento" numFmtId="0">
      <sharedItems count="3">
        <s v="Cartão de Crédito"/>
        <s v="Pix"/>
        <s v="Boleto Bancário"/>
      </sharedItems>
    </cacheField>
    <cacheField name="Status_Pedido" numFmtId="0">
      <sharedItems count="4">
        <s v="Aprovado"/>
        <s v="Entregue"/>
        <s v="Inadimplente"/>
        <s v="Cancelado"/>
      </sharedItems>
    </cacheField>
    <cacheField name="Dias (Data_Pedido)" numFmtId="0" databaseField="0">
      <fieldGroup base="1">
        <rangePr groupBy="days" startDate="2026-04-01T14:52:25" endDate="2026-10-19T22:45:27"/>
        <groupItems count="368">
          <s v="&lt;01/04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9/10/2026"/>
        </groupItems>
      </fieldGroup>
    </cacheField>
    <cacheField name="Meses (Data_Pedido)" numFmtId="0" databaseField="0">
      <fieldGroup base="1">
        <rangePr groupBy="months" startDate="2026-04-01T14:52:25" endDate="2026-10-19T22:45:27"/>
        <groupItems count="14">
          <s v="&lt;01/04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9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ZOV-1001"/>
    <x v="0"/>
    <s v="CUST-106"/>
    <x v="0"/>
    <x v="0"/>
    <x v="0"/>
    <n v="2"/>
    <n v="129.9"/>
    <n v="40"/>
    <x v="0"/>
    <n v="80"/>
    <n v="179.8"/>
    <x v="0"/>
    <x v="0"/>
  </r>
  <r>
    <s v="ZOV-1002"/>
    <x v="1"/>
    <s v="CUST-157"/>
    <x v="1"/>
    <x v="1"/>
    <x v="1"/>
    <n v="2"/>
    <n v="139.9"/>
    <n v="45"/>
    <x v="1"/>
    <n v="90"/>
    <n v="189.8"/>
    <x v="0"/>
    <x v="1"/>
  </r>
  <r>
    <s v="ZOV-1003"/>
    <x v="2"/>
    <s v="CUST-273"/>
    <x v="1"/>
    <x v="0"/>
    <x v="0"/>
    <n v="2"/>
    <n v="129.9"/>
    <n v="40"/>
    <x v="0"/>
    <n v="80"/>
    <n v="179.8"/>
    <x v="1"/>
    <x v="0"/>
  </r>
  <r>
    <s v="ZOV-1004"/>
    <x v="3"/>
    <s v="CUST-251"/>
    <x v="1"/>
    <x v="1"/>
    <x v="2"/>
    <n v="1"/>
    <n v="169.9"/>
    <n v="55"/>
    <x v="2"/>
    <n v="55"/>
    <n v="114.9"/>
    <x v="1"/>
    <x v="0"/>
  </r>
  <r>
    <s v="ZOV-1005"/>
    <x v="4"/>
    <s v="CUST-123"/>
    <x v="2"/>
    <x v="1"/>
    <x v="1"/>
    <n v="1"/>
    <n v="139.9"/>
    <n v="45"/>
    <x v="3"/>
    <n v="45"/>
    <n v="94.9"/>
    <x v="1"/>
    <x v="1"/>
  </r>
  <r>
    <s v="ZOV-1006"/>
    <x v="5"/>
    <s v="CUST-254"/>
    <x v="3"/>
    <x v="1"/>
    <x v="3"/>
    <n v="1"/>
    <n v="139.9"/>
    <n v="45"/>
    <x v="3"/>
    <n v="45"/>
    <n v="94.9"/>
    <x v="0"/>
    <x v="0"/>
  </r>
  <r>
    <s v="ZOV-1007"/>
    <x v="6"/>
    <s v="CUST-283"/>
    <x v="2"/>
    <x v="1"/>
    <x v="2"/>
    <n v="1"/>
    <n v="169.9"/>
    <n v="55"/>
    <x v="2"/>
    <n v="55"/>
    <n v="114.9"/>
    <x v="2"/>
    <x v="2"/>
  </r>
  <r>
    <s v="ZOV-1008"/>
    <x v="7"/>
    <s v="CUST-250"/>
    <x v="3"/>
    <x v="1"/>
    <x v="4"/>
    <n v="1"/>
    <n v="159.9"/>
    <n v="52"/>
    <x v="4"/>
    <n v="52"/>
    <n v="107.9"/>
    <x v="0"/>
    <x v="1"/>
  </r>
  <r>
    <s v="ZOV-1009"/>
    <x v="8"/>
    <s v="CUST-278"/>
    <x v="1"/>
    <x v="2"/>
    <x v="5"/>
    <n v="1"/>
    <n v="319.89999999999998"/>
    <n v="105"/>
    <x v="5"/>
    <n v="105"/>
    <n v="214.9"/>
    <x v="2"/>
    <x v="1"/>
  </r>
  <r>
    <s v="ZOV-1010"/>
    <x v="9"/>
    <s v="CUST-139"/>
    <x v="4"/>
    <x v="1"/>
    <x v="1"/>
    <n v="1"/>
    <n v="139.9"/>
    <n v="45"/>
    <x v="3"/>
    <n v="45"/>
    <n v="94.9"/>
    <x v="0"/>
    <x v="0"/>
  </r>
  <r>
    <s v="ZOV-1011"/>
    <x v="10"/>
    <s v="CUST-126"/>
    <x v="5"/>
    <x v="3"/>
    <x v="6"/>
    <n v="3"/>
    <n v="249.9"/>
    <n v="80"/>
    <x v="6"/>
    <n v="240"/>
    <n v="509.7"/>
    <x v="2"/>
    <x v="1"/>
  </r>
  <r>
    <s v="ZOV-1012"/>
    <x v="11"/>
    <s v="CUST-191"/>
    <x v="6"/>
    <x v="1"/>
    <x v="4"/>
    <n v="1"/>
    <n v="159.9"/>
    <n v="52"/>
    <x v="4"/>
    <n v="52"/>
    <n v="107.9"/>
    <x v="1"/>
    <x v="1"/>
  </r>
  <r>
    <s v="ZOV-1013"/>
    <x v="12"/>
    <s v="CUST-306"/>
    <x v="0"/>
    <x v="1"/>
    <x v="3"/>
    <n v="2"/>
    <n v="139.9"/>
    <n v="45"/>
    <x v="1"/>
    <n v="90"/>
    <n v="189.8"/>
    <x v="1"/>
    <x v="0"/>
  </r>
  <r>
    <s v="ZOV-1014"/>
    <x v="13"/>
    <s v="CUST-237"/>
    <x v="2"/>
    <x v="1"/>
    <x v="3"/>
    <n v="2"/>
    <n v="139.9"/>
    <n v="45"/>
    <x v="1"/>
    <n v="90"/>
    <n v="189.8"/>
    <x v="1"/>
    <x v="3"/>
  </r>
  <r>
    <s v="ZOV-1015"/>
    <x v="14"/>
    <s v="CUST-241"/>
    <x v="3"/>
    <x v="1"/>
    <x v="4"/>
    <n v="1"/>
    <n v="159.9"/>
    <n v="52"/>
    <x v="4"/>
    <n v="52"/>
    <n v="107.9"/>
    <x v="0"/>
    <x v="1"/>
  </r>
  <r>
    <s v="ZOV-1016"/>
    <x v="15"/>
    <s v="CUST-326"/>
    <x v="7"/>
    <x v="3"/>
    <x v="7"/>
    <n v="1"/>
    <n v="219.9"/>
    <n v="70"/>
    <x v="7"/>
    <n v="70"/>
    <n v="149.9"/>
    <x v="1"/>
    <x v="0"/>
  </r>
  <r>
    <s v="ZOV-1017"/>
    <x v="16"/>
    <s v="CUST-280"/>
    <x v="8"/>
    <x v="2"/>
    <x v="8"/>
    <n v="1"/>
    <n v="289.89999999999998"/>
    <n v="95"/>
    <x v="8"/>
    <n v="95"/>
    <n v="194.9"/>
    <x v="1"/>
    <x v="1"/>
  </r>
  <r>
    <s v="ZOV-1018"/>
    <x v="17"/>
    <s v="CUST-297"/>
    <x v="1"/>
    <x v="3"/>
    <x v="7"/>
    <n v="1"/>
    <n v="219.9"/>
    <n v="70"/>
    <x v="7"/>
    <n v="70"/>
    <n v="149.9"/>
    <x v="2"/>
    <x v="1"/>
  </r>
  <r>
    <s v="ZOV-1019"/>
    <x v="18"/>
    <s v="CUST-321"/>
    <x v="1"/>
    <x v="3"/>
    <x v="6"/>
    <n v="2"/>
    <n v="249.9"/>
    <n v="80"/>
    <x v="9"/>
    <n v="160"/>
    <n v="339.8"/>
    <x v="0"/>
    <x v="1"/>
  </r>
  <r>
    <s v="ZOV-1020"/>
    <x v="19"/>
    <s v="CUST-216"/>
    <x v="0"/>
    <x v="2"/>
    <x v="9"/>
    <n v="1"/>
    <n v="259.89999999999998"/>
    <n v="82"/>
    <x v="10"/>
    <n v="82"/>
    <n v="177.9"/>
    <x v="1"/>
    <x v="0"/>
  </r>
  <r>
    <s v="ZOV-1021"/>
    <x v="20"/>
    <s v="CUST-194"/>
    <x v="1"/>
    <x v="2"/>
    <x v="5"/>
    <n v="1"/>
    <n v="319.89999999999998"/>
    <n v="105"/>
    <x v="5"/>
    <n v="105"/>
    <n v="214.9"/>
    <x v="0"/>
    <x v="1"/>
  </r>
  <r>
    <s v="ZOV-1022"/>
    <x v="21"/>
    <s v="CUST-279"/>
    <x v="1"/>
    <x v="1"/>
    <x v="3"/>
    <n v="2"/>
    <n v="139.9"/>
    <n v="45"/>
    <x v="1"/>
    <n v="90"/>
    <n v="189.8"/>
    <x v="1"/>
    <x v="0"/>
  </r>
  <r>
    <s v="ZOV-1023"/>
    <x v="22"/>
    <s v="CUST-143"/>
    <x v="1"/>
    <x v="1"/>
    <x v="1"/>
    <n v="3"/>
    <n v="139.9"/>
    <n v="45"/>
    <x v="11"/>
    <n v="135"/>
    <n v="284.7"/>
    <x v="0"/>
    <x v="1"/>
  </r>
  <r>
    <s v="ZOV-1024"/>
    <x v="23"/>
    <s v="CUST-197"/>
    <x v="8"/>
    <x v="3"/>
    <x v="7"/>
    <n v="1"/>
    <n v="219.9"/>
    <n v="70"/>
    <x v="7"/>
    <n v="70"/>
    <n v="149.9"/>
    <x v="2"/>
    <x v="1"/>
  </r>
  <r>
    <s v="ZOV-1025"/>
    <x v="24"/>
    <s v="CUST-156"/>
    <x v="3"/>
    <x v="3"/>
    <x v="10"/>
    <n v="1"/>
    <n v="279.89999999999998"/>
    <n v="90"/>
    <x v="12"/>
    <n v="90"/>
    <n v="189.9"/>
    <x v="1"/>
    <x v="0"/>
  </r>
  <r>
    <s v="ZOV-1026"/>
    <x v="25"/>
    <s v="CUST-158"/>
    <x v="0"/>
    <x v="3"/>
    <x v="6"/>
    <n v="2"/>
    <n v="249.9"/>
    <n v="80"/>
    <x v="9"/>
    <n v="160"/>
    <n v="339.8"/>
    <x v="1"/>
    <x v="1"/>
  </r>
  <r>
    <s v="ZOV-1027"/>
    <x v="26"/>
    <s v="CUST-168"/>
    <x v="0"/>
    <x v="1"/>
    <x v="3"/>
    <n v="1"/>
    <n v="139.9"/>
    <n v="45"/>
    <x v="3"/>
    <n v="45"/>
    <n v="94.9"/>
    <x v="1"/>
    <x v="1"/>
  </r>
  <r>
    <s v="ZOV-1028"/>
    <x v="27"/>
    <s v="CUST-324"/>
    <x v="1"/>
    <x v="2"/>
    <x v="9"/>
    <n v="2"/>
    <n v="259.89999999999998"/>
    <n v="82"/>
    <x v="13"/>
    <n v="164"/>
    <n v="355.8"/>
    <x v="1"/>
    <x v="3"/>
  </r>
  <r>
    <s v="ZOV-1029"/>
    <x v="28"/>
    <s v="CUST-267"/>
    <x v="5"/>
    <x v="1"/>
    <x v="2"/>
    <n v="1"/>
    <n v="169.9"/>
    <n v="55"/>
    <x v="2"/>
    <n v="55"/>
    <n v="114.9"/>
    <x v="1"/>
    <x v="0"/>
  </r>
  <r>
    <s v="ZOV-1030"/>
    <x v="29"/>
    <s v="CUST-217"/>
    <x v="1"/>
    <x v="2"/>
    <x v="8"/>
    <n v="1"/>
    <n v="289.89999999999998"/>
    <n v="95"/>
    <x v="8"/>
    <n v="95"/>
    <n v="194.9"/>
    <x v="1"/>
    <x v="0"/>
  </r>
  <r>
    <s v="ZOV-1031"/>
    <x v="30"/>
    <s v="CUST-163"/>
    <x v="6"/>
    <x v="1"/>
    <x v="4"/>
    <n v="1"/>
    <n v="159.9"/>
    <n v="52"/>
    <x v="4"/>
    <n v="52"/>
    <n v="107.9"/>
    <x v="1"/>
    <x v="3"/>
  </r>
  <r>
    <s v="ZOV-1032"/>
    <x v="31"/>
    <s v="CUST-209"/>
    <x v="1"/>
    <x v="2"/>
    <x v="9"/>
    <n v="2"/>
    <n v="259.89999999999998"/>
    <n v="82"/>
    <x v="13"/>
    <n v="164"/>
    <n v="355.8"/>
    <x v="1"/>
    <x v="1"/>
  </r>
  <r>
    <s v="ZOV-1033"/>
    <x v="32"/>
    <s v="CUST-156"/>
    <x v="0"/>
    <x v="2"/>
    <x v="8"/>
    <n v="1"/>
    <n v="289.89999999999998"/>
    <n v="95"/>
    <x v="8"/>
    <n v="95"/>
    <n v="194.9"/>
    <x v="0"/>
    <x v="0"/>
  </r>
  <r>
    <s v="ZOV-1034"/>
    <x v="33"/>
    <s v="CUST-123"/>
    <x v="8"/>
    <x v="1"/>
    <x v="3"/>
    <n v="1"/>
    <n v="139.9"/>
    <n v="45"/>
    <x v="3"/>
    <n v="45"/>
    <n v="94.9"/>
    <x v="1"/>
    <x v="1"/>
  </r>
  <r>
    <s v="ZOV-1035"/>
    <x v="34"/>
    <s v="CUST-260"/>
    <x v="4"/>
    <x v="1"/>
    <x v="1"/>
    <n v="1"/>
    <n v="139.9"/>
    <n v="45"/>
    <x v="3"/>
    <n v="45"/>
    <n v="94.9"/>
    <x v="1"/>
    <x v="1"/>
  </r>
  <r>
    <s v="ZOV-1036"/>
    <x v="35"/>
    <s v="CUST-252"/>
    <x v="1"/>
    <x v="2"/>
    <x v="8"/>
    <n v="1"/>
    <n v="289.89999999999998"/>
    <n v="95"/>
    <x v="8"/>
    <n v="95"/>
    <n v="194.9"/>
    <x v="2"/>
    <x v="1"/>
  </r>
  <r>
    <s v="ZOV-1037"/>
    <x v="36"/>
    <s v="CUST-252"/>
    <x v="1"/>
    <x v="1"/>
    <x v="2"/>
    <n v="3"/>
    <n v="169.9"/>
    <n v="55"/>
    <x v="14"/>
    <n v="165"/>
    <n v="344.7"/>
    <x v="0"/>
    <x v="1"/>
  </r>
  <r>
    <s v="ZOV-1038"/>
    <x v="37"/>
    <s v="CUST-348"/>
    <x v="4"/>
    <x v="3"/>
    <x v="10"/>
    <n v="1"/>
    <n v="279.89999999999998"/>
    <n v="90"/>
    <x v="12"/>
    <n v="90"/>
    <n v="189.9"/>
    <x v="0"/>
    <x v="0"/>
  </r>
  <r>
    <s v="ZOV-1039"/>
    <x v="38"/>
    <s v="CUST-274"/>
    <x v="1"/>
    <x v="3"/>
    <x v="10"/>
    <n v="3"/>
    <n v="279.89999999999998"/>
    <n v="90"/>
    <x v="15"/>
    <n v="270"/>
    <n v="569.70000000000005"/>
    <x v="0"/>
    <x v="1"/>
  </r>
  <r>
    <s v="ZOV-1040"/>
    <x v="39"/>
    <s v="CUST-296"/>
    <x v="1"/>
    <x v="3"/>
    <x v="10"/>
    <n v="2"/>
    <n v="279.89999999999998"/>
    <n v="90"/>
    <x v="16"/>
    <n v="180"/>
    <n v="379.8"/>
    <x v="2"/>
    <x v="2"/>
  </r>
  <r>
    <s v="ZOV-1041"/>
    <x v="40"/>
    <s v="CUST-175"/>
    <x v="4"/>
    <x v="1"/>
    <x v="2"/>
    <n v="1"/>
    <n v="169.9"/>
    <n v="55"/>
    <x v="2"/>
    <n v="55"/>
    <n v="114.9"/>
    <x v="2"/>
    <x v="3"/>
  </r>
  <r>
    <s v="ZOV-1042"/>
    <x v="41"/>
    <s v="CUST-100"/>
    <x v="1"/>
    <x v="1"/>
    <x v="4"/>
    <n v="2"/>
    <n v="159.9"/>
    <n v="52"/>
    <x v="17"/>
    <n v="104"/>
    <n v="215.8"/>
    <x v="1"/>
    <x v="0"/>
  </r>
  <r>
    <s v="ZOV-1043"/>
    <x v="42"/>
    <s v="CUST-229"/>
    <x v="2"/>
    <x v="2"/>
    <x v="8"/>
    <n v="2"/>
    <n v="289.89999999999998"/>
    <n v="95"/>
    <x v="18"/>
    <n v="190"/>
    <n v="389.8"/>
    <x v="1"/>
    <x v="1"/>
  </r>
  <r>
    <s v="ZOV-1044"/>
    <x v="43"/>
    <s v="CUST-315"/>
    <x v="1"/>
    <x v="1"/>
    <x v="1"/>
    <n v="2"/>
    <n v="139.9"/>
    <n v="45"/>
    <x v="1"/>
    <n v="90"/>
    <n v="189.8"/>
    <x v="0"/>
    <x v="1"/>
  </r>
  <r>
    <s v="ZOV-1045"/>
    <x v="44"/>
    <s v="CUST-295"/>
    <x v="4"/>
    <x v="2"/>
    <x v="8"/>
    <n v="1"/>
    <n v="289.89999999999998"/>
    <n v="95"/>
    <x v="8"/>
    <n v="95"/>
    <n v="194.9"/>
    <x v="1"/>
    <x v="0"/>
  </r>
  <r>
    <s v="ZOV-1046"/>
    <x v="45"/>
    <s v="CUST-335"/>
    <x v="1"/>
    <x v="0"/>
    <x v="11"/>
    <n v="1"/>
    <n v="89.9"/>
    <n v="25"/>
    <x v="19"/>
    <n v="25"/>
    <n v="64.900000000000006"/>
    <x v="2"/>
    <x v="3"/>
  </r>
  <r>
    <s v="ZOV-1047"/>
    <x v="46"/>
    <s v="CUST-225"/>
    <x v="3"/>
    <x v="2"/>
    <x v="8"/>
    <n v="1"/>
    <n v="289.89999999999998"/>
    <n v="95"/>
    <x v="8"/>
    <n v="95"/>
    <n v="194.9"/>
    <x v="1"/>
    <x v="0"/>
  </r>
  <r>
    <s v="ZOV-1048"/>
    <x v="47"/>
    <s v="CUST-324"/>
    <x v="7"/>
    <x v="1"/>
    <x v="4"/>
    <n v="1"/>
    <n v="159.9"/>
    <n v="52"/>
    <x v="4"/>
    <n v="52"/>
    <n v="107.9"/>
    <x v="0"/>
    <x v="0"/>
  </r>
  <r>
    <s v="ZOV-1049"/>
    <x v="48"/>
    <s v="CUST-161"/>
    <x v="5"/>
    <x v="0"/>
    <x v="0"/>
    <n v="3"/>
    <n v="129.9"/>
    <n v="40"/>
    <x v="20"/>
    <n v="120"/>
    <n v="269.7"/>
    <x v="1"/>
    <x v="0"/>
  </r>
  <r>
    <s v="ZOV-1050"/>
    <x v="49"/>
    <s v="CUST-287"/>
    <x v="6"/>
    <x v="1"/>
    <x v="2"/>
    <n v="3"/>
    <n v="169.9"/>
    <n v="55"/>
    <x v="14"/>
    <n v="165"/>
    <n v="344.7"/>
    <x v="2"/>
    <x v="2"/>
  </r>
  <r>
    <s v="ZOV-1051"/>
    <x v="50"/>
    <s v="CUST-296"/>
    <x v="1"/>
    <x v="1"/>
    <x v="1"/>
    <n v="2"/>
    <n v="139.9"/>
    <n v="45"/>
    <x v="1"/>
    <n v="90"/>
    <n v="189.8"/>
    <x v="1"/>
    <x v="0"/>
  </r>
  <r>
    <s v="ZOV-1052"/>
    <x v="51"/>
    <s v="CUST-342"/>
    <x v="2"/>
    <x v="0"/>
    <x v="0"/>
    <n v="2"/>
    <n v="129.9"/>
    <n v="40"/>
    <x v="0"/>
    <n v="80"/>
    <n v="179.8"/>
    <x v="0"/>
    <x v="0"/>
  </r>
  <r>
    <s v="ZOV-1053"/>
    <x v="52"/>
    <s v="CUST-235"/>
    <x v="2"/>
    <x v="0"/>
    <x v="0"/>
    <n v="1"/>
    <n v="129.9"/>
    <n v="40"/>
    <x v="21"/>
    <n v="40"/>
    <n v="89.9"/>
    <x v="0"/>
    <x v="1"/>
  </r>
  <r>
    <s v="ZOV-1054"/>
    <x v="53"/>
    <s v="CUST-337"/>
    <x v="7"/>
    <x v="2"/>
    <x v="9"/>
    <n v="2"/>
    <n v="259.89999999999998"/>
    <n v="82"/>
    <x v="13"/>
    <n v="164"/>
    <n v="355.8"/>
    <x v="1"/>
    <x v="0"/>
  </r>
  <r>
    <s v="ZOV-1055"/>
    <x v="54"/>
    <s v="CUST-282"/>
    <x v="3"/>
    <x v="3"/>
    <x v="7"/>
    <n v="2"/>
    <n v="219.9"/>
    <n v="70"/>
    <x v="22"/>
    <n v="140"/>
    <n v="299.8"/>
    <x v="2"/>
    <x v="1"/>
  </r>
  <r>
    <s v="ZOV-1056"/>
    <x v="55"/>
    <s v="CUST-195"/>
    <x v="2"/>
    <x v="3"/>
    <x v="7"/>
    <n v="1"/>
    <n v="219.9"/>
    <n v="70"/>
    <x v="7"/>
    <n v="70"/>
    <n v="149.9"/>
    <x v="0"/>
    <x v="1"/>
  </r>
  <r>
    <s v="ZOV-1057"/>
    <x v="56"/>
    <s v="CUST-130"/>
    <x v="6"/>
    <x v="1"/>
    <x v="1"/>
    <n v="1"/>
    <n v="139.9"/>
    <n v="45"/>
    <x v="3"/>
    <n v="45"/>
    <n v="94.9"/>
    <x v="1"/>
    <x v="1"/>
  </r>
  <r>
    <s v="ZOV-1058"/>
    <x v="57"/>
    <s v="CUST-186"/>
    <x v="1"/>
    <x v="2"/>
    <x v="8"/>
    <n v="1"/>
    <n v="289.89999999999998"/>
    <n v="95"/>
    <x v="8"/>
    <n v="95"/>
    <n v="194.9"/>
    <x v="1"/>
    <x v="1"/>
  </r>
  <r>
    <s v="ZOV-1059"/>
    <x v="58"/>
    <s v="CUST-158"/>
    <x v="1"/>
    <x v="1"/>
    <x v="1"/>
    <n v="2"/>
    <n v="139.9"/>
    <n v="45"/>
    <x v="1"/>
    <n v="90"/>
    <n v="189.8"/>
    <x v="1"/>
    <x v="0"/>
  </r>
  <r>
    <s v="ZOV-1060"/>
    <x v="59"/>
    <s v="CUST-281"/>
    <x v="2"/>
    <x v="3"/>
    <x v="10"/>
    <n v="1"/>
    <n v="279.89999999999998"/>
    <n v="90"/>
    <x v="12"/>
    <n v="90"/>
    <n v="189.9"/>
    <x v="0"/>
    <x v="0"/>
  </r>
  <r>
    <s v="ZOV-1061"/>
    <x v="60"/>
    <s v="CUST-117"/>
    <x v="1"/>
    <x v="2"/>
    <x v="8"/>
    <n v="1"/>
    <n v="289.89999999999998"/>
    <n v="95"/>
    <x v="8"/>
    <n v="95"/>
    <n v="194.9"/>
    <x v="0"/>
    <x v="1"/>
  </r>
  <r>
    <s v="ZOV-1062"/>
    <x v="61"/>
    <s v="CUST-231"/>
    <x v="9"/>
    <x v="2"/>
    <x v="8"/>
    <n v="1"/>
    <n v="289.89999999999998"/>
    <n v="95"/>
    <x v="8"/>
    <n v="95"/>
    <n v="194.9"/>
    <x v="0"/>
    <x v="1"/>
  </r>
  <r>
    <s v="ZOV-1063"/>
    <x v="62"/>
    <s v="CUST-154"/>
    <x v="0"/>
    <x v="1"/>
    <x v="1"/>
    <n v="1"/>
    <n v="139.9"/>
    <n v="45"/>
    <x v="3"/>
    <n v="45"/>
    <n v="94.9"/>
    <x v="2"/>
    <x v="2"/>
  </r>
  <r>
    <s v="ZOV-1064"/>
    <x v="63"/>
    <s v="CUST-247"/>
    <x v="4"/>
    <x v="1"/>
    <x v="2"/>
    <n v="1"/>
    <n v="169.9"/>
    <n v="55"/>
    <x v="2"/>
    <n v="55"/>
    <n v="114.9"/>
    <x v="1"/>
    <x v="0"/>
  </r>
  <r>
    <s v="ZOV-1065"/>
    <x v="64"/>
    <s v="CUST-306"/>
    <x v="2"/>
    <x v="3"/>
    <x v="7"/>
    <n v="2"/>
    <n v="219.9"/>
    <n v="70"/>
    <x v="22"/>
    <n v="140"/>
    <n v="299.8"/>
    <x v="1"/>
    <x v="3"/>
  </r>
  <r>
    <s v="ZOV-1066"/>
    <x v="65"/>
    <s v="CUST-124"/>
    <x v="7"/>
    <x v="2"/>
    <x v="9"/>
    <n v="1"/>
    <n v="259.89999999999998"/>
    <n v="82"/>
    <x v="10"/>
    <n v="82"/>
    <n v="177.9"/>
    <x v="1"/>
    <x v="0"/>
  </r>
  <r>
    <s v="ZOV-1067"/>
    <x v="66"/>
    <s v="CUST-208"/>
    <x v="0"/>
    <x v="3"/>
    <x v="7"/>
    <n v="1"/>
    <n v="219.9"/>
    <n v="70"/>
    <x v="7"/>
    <n v="70"/>
    <n v="149.9"/>
    <x v="1"/>
    <x v="0"/>
  </r>
  <r>
    <s v="ZOV-1068"/>
    <x v="67"/>
    <s v="CUST-272"/>
    <x v="1"/>
    <x v="3"/>
    <x v="10"/>
    <n v="2"/>
    <n v="279.89999999999998"/>
    <n v="90"/>
    <x v="16"/>
    <n v="180"/>
    <n v="379.8"/>
    <x v="1"/>
    <x v="0"/>
  </r>
  <r>
    <s v="ZOV-1069"/>
    <x v="68"/>
    <s v="CUST-115"/>
    <x v="0"/>
    <x v="2"/>
    <x v="5"/>
    <n v="1"/>
    <n v="319.89999999999998"/>
    <n v="105"/>
    <x v="5"/>
    <n v="105"/>
    <n v="214.9"/>
    <x v="1"/>
    <x v="1"/>
  </r>
  <r>
    <s v="ZOV-1070"/>
    <x v="69"/>
    <s v="CUST-304"/>
    <x v="2"/>
    <x v="2"/>
    <x v="8"/>
    <n v="1"/>
    <n v="289.89999999999998"/>
    <n v="95"/>
    <x v="8"/>
    <n v="95"/>
    <n v="194.9"/>
    <x v="1"/>
    <x v="1"/>
  </r>
  <r>
    <s v="ZOV-1071"/>
    <x v="70"/>
    <s v="CUST-148"/>
    <x v="2"/>
    <x v="3"/>
    <x v="10"/>
    <n v="2"/>
    <n v="279.89999999999998"/>
    <n v="90"/>
    <x v="16"/>
    <n v="180"/>
    <n v="379.8"/>
    <x v="1"/>
    <x v="0"/>
  </r>
  <r>
    <s v="ZOV-1072"/>
    <x v="71"/>
    <s v="CUST-208"/>
    <x v="4"/>
    <x v="1"/>
    <x v="1"/>
    <n v="1"/>
    <n v="139.9"/>
    <n v="45"/>
    <x v="3"/>
    <n v="45"/>
    <n v="94.9"/>
    <x v="2"/>
    <x v="1"/>
  </r>
  <r>
    <s v="ZOV-1073"/>
    <x v="72"/>
    <s v="CUST-163"/>
    <x v="0"/>
    <x v="2"/>
    <x v="8"/>
    <n v="1"/>
    <n v="289.89999999999998"/>
    <n v="95"/>
    <x v="8"/>
    <n v="95"/>
    <n v="194.9"/>
    <x v="0"/>
    <x v="3"/>
  </r>
  <r>
    <s v="ZOV-1074"/>
    <x v="73"/>
    <s v="CUST-125"/>
    <x v="0"/>
    <x v="0"/>
    <x v="11"/>
    <n v="3"/>
    <n v="89.9"/>
    <n v="25"/>
    <x v="23"/>
    <n v="75"/>
    <n v="194.7"/>
    <x v="1"/>
    <x v="0"/>
  </r>
  <r>
    <s v="ZOV-1075"/>
    <x v="74"/>
    <s v="CUST-314"/>
    <x v="1"/>
    <x v="1"/>
    <x v="3"/>
    <n v="1"/>
    <n v="139.9"/>
    <n v="45"/>
    <x v="3"/>
    <n v="45"/>
    <n v="94.9"/>
    <x v="0"/>
    <x v="0"/>
  </r>
  <r>
    <s v="ZOV-1076"/>
    <x v="75"/>
    <s v="CUST-142"/>
    <x v="1"/>
    <x v="3"/>
    <x v="7"/>
    <n v="1"/>
    <n v="219.9"/>
    <n v="70"/>
    <x v="7"/>
    <n v="70"/>
    <n v="149.9"/>
    <x v="0"/>
    <x v="1"/>
  </r>
  <r>
    <s v="ZOV-1077"/>
    <x v="76"/>
    <s v="CUST-154"/>
    <x v="1"/>
    <x v="2"/>
    <x v="5"/>
    <n v="1"/>
    <n v="319.89999999999998"/>
    <n v="105"/>
    <x v="5"/>
    <n v="105"/>
    <n v="214.9"/>
    <x v="0"/>
    <x v="1"/>
  </r>
  <r>
    <s v="ZOV-1078"/>
    <x v="77"/>
    <s v="CUST-197"/>
    <x v="3"/>
    <x v="1"/>
    <x v="3"/>
    <n v="1"/>
    <n v="139.9"/>
    <n v="45"/>
    <x v="3"/>
    <n v="45"/>
    <n v="94.9"/>
    <x v="0"/>
    <x v="1"/>
  </r>
  <r>
    <s v="ZOV-1079"/>
    <x v="78"/>
    <s v="CUST-337"/>
    <x v="9"/>
    <x v="1"/>
    <x v="2"/>
    <n v="1"/>
    <n v="169.9"/>
    <n v="55"/>
    <x v="2"/>
    <n v="55"/>
    <n v="114.9"/>
    <x v="0"/>
    <x v="1"/>
  </r>
  <r>
    <s v="ZOV-1080"/>
    <x v="79"/>
    <s v="CUST-278"/>
    <x v="6"/>
    <x v="3"/>
    <x v="10"/>
    <n v="1"/>
    <n v="279.89999999999998"/>
    <n v="90"/>
    <x v="12"/>
    <n v="90"/>
    <n v="189.9"/>
    <x v="0"/>
    <x v="1"/>
  </r>
  <r>
    <s v="ZOV-1081"/>
    <x v="80"/>
    <s v="CUST-269"/>
    <x v="1"/>
    <x v="0"/>
    <x v="0"/>
    <n v="1"/>
    <n v="129.9"/>
    <n v="40"/>
    <x v="21"/>
    <n v="40"/>
    <n v="89.9"/>
    <x v="0"/>
    <x v="1"/>
  </r>
  <r>
    <s v="ZOV-1082"/>
    <x v="81"/>
    <s v="CUST-148"/>
    <x v="6"/>
    <x v="1"/>
    <x v="4"/>
    <n v="1"/>
    <n v="159.9"/>
    <n v="52"/>
    <x v="4"/>
    <n v="52"/>
    <n v="107.9"/>
    <x v="2"/>
    <x v="0"/>
  </r>
  <r>
    <s v="ZOV-1083"/>
    <x v="82"/>
    <s v="CUST-248"/>
    <x v="1"/>
    <x v="0"/>
    <x v="0"/>
    <n v="3"/>
    <n v="129.9"/>
    <n v="40"/>
    <x v="20"/>
    <n v="120"/>
    <n v="269.7"/>
    <x v="0"/>
    <x v="1"/>
  </r>
  <r>
    <s v="ZOV-1084"/>
    <x v="83"/>
    <s v="CUST-291"/>
    <x v="0"/>
    <x v="1"/>
    <x v="4"/>
    <n v="1"/>
    <n v="159.9"/>
    <n v="52"/>
    <x v="4"/>
    <n v="52"/>
    <n v="107.9"/>
    <x v="0"/>
    <x v="1"/>
  </r>
  <r>
    <s v="ZOV-1085"/>
    <x v="84"/>
    <s v="CUST-249"/>
    <x v="3"/>
    <x v="3"/>
    <x v="7"/>
    <n v="1"/>
    <n v="219.9"/>
    <n v="70"/>
    <x v="7"/>
    <n v="70"/>
    <n v="149.9"/>
    <x v="1"/>
    <x v="0"/>
  </r>
  <r>
    <s v="ZOV-1086"/>
    <x v="85"/>
    <s v="CUST-140"/>
    <x v="2"/>
    <x v="1"/>
    <x v="3"/>
    <n v="2"/>
    <n v="139.9"/>
    <n v="45"/>
    <x v="1"/>
    <n v="90"/>
    <n v="189.8"/>
    <x v="1"/>
    <x v="0"/>
  </r>
  <r>
    <s v="ZOV-1087"/>
    <x v="86"/>
    <s v="CUST-317"/>
    <x v="1"/>
    <x v="3"/>
    <x v="6"/>
    <n v="1"/>
    <n v="249.9"/>
    <n v="80"/>
    <x v="24"/>
    <n v="80"/>
    <n v="169.9"/>
    <x v="1"/>
    <x v="0"/>
  </r>
  <r>
    <s v="ZOV-1088"/>
    <x v="87"/>
    <s v="CUST-117"/>
    <x v="7"/>
    <x v="1"/>
    <x v="1"/>
    <n v="2"/>
    <n v="139.9"/>
    <n v="45"/>
    <x v="1"/>
    <n v="90"/>
    <n v="189.8"/>
    <x v="0"/>
    <x v="0"/>
  </r>
  <r>
    <s v="ZOV-1089"/>
    <x v="88"/>
    <s v="CUST-341"/>
    <x v="1"/>
    <x v="0"/>
    <x v="0"/>
    <n v="1"/>
    <n v="129.9"/>
    <n v="40"/>
    <x v="21"/>
    <n v="40"/>
    <n v="89.9"/>
    <x v="1"/>
    <x v="1"/>
  </r>
  <r>
    <s v="ZOV-1090"/>
    <x v="89"/>
    <s v="CUST-252"/>
    <x v="5"/>
    <x v="0"/>
    <x v="11"/>
    <n v="2"/>
    <n v="89.9"/>
    <n v="25"/>
    <x v="25"/>
    <n v="50"/>
    <n v="129.80000000000001"/>
    <x v="1"/>
    <x v="0"/>
  </r>
  <r>
    <s v="ZOV-1091"/>
    <x v="90"/>
    <s v="CUST-207"/>
    <x v="3"/>
    <x v="2"/>
    <x v="9"/>
    <n v="1"/>
    <n v="259.89999999999998"/>
    <n v="82"/>
    <x v="10"/>
    <n v="82"/>
    <n v="177.9"/>
    <x v="2"/>
    <x v="1"/>
  </r>
  <r>
    <s v="ZOV-1092"/>
    <x v="91"/>
    <s v="CUST-233"/>
    <x v="0"/>
    <x v="1"/>
    <x v="4"/>
    <n v="1"/>
    <n v="159.9"/>
    <n v="52"/>
    <x v="4"/>
    <n v="52"/>
    <n v="107.9"/>
    <x v="1"/>
    <x v="0"/>
  </r>
  <r>
    <s v="ZOV-1093"/>
    <x v="92"/>
    <s v="CUST-271"/>
    <x v="1"/>
    <x v="2"/>
    <x v="9"/>
    <n v="2"/>
    <n v="259.89999999999998"/>
    <n v="82"/>
    <x v="13"/>
    <n v="164"/>
    <n v="355.8"/>
    <x v="0"/>
    <x v="3"/>
  </r>
  <r>
    <s v="ZOV-1094"/>
    <x v="93"/>
    <s v="CUST-167"/>
    <x v="0"/>
    <x v="1"/>
    <x v="2"/>
    <n v="2"/>
    <n v="169.9"/>
    <n v="55"/>
    <x v="26"/>
    <n v="110"/>
    <n v="229.8"/>
    <x v="1"/>
    <x v="3"/>
  </r>
  <r>
    <s v="ZOV-1095"/>
    <x v="94"/>
    <s v="CUST-176"/>
    <x v="1"/>
    <x v="0"/>
    <x v="12"/>
    <n v="1"/>
    <n v="79.900000000000006"/>
    <n v="22"/>
    <x v="27"/>
    <n v="22"/>
    <n v="57.9"/>
    <x v="2"/>
    <x v="1"/>
  </r>
  <r>
    <s v="ZOV-1096"/>
    <x v="95"/>
    <s v="CUST-102"/>
    <x v="9"/>
    <x v="1"/>
    <x v="2"/>
    <n v="1"/>
    <n v="169.9"/>
    <n v="55"/>
    <x v="2"/>
    <n v="55"/>
    <n v="114.9"/>
    <x v="2"/>
    <x v="1"/>
  </r>
  <r>
    <s v="ZOV-1097"/>
    <x v="96"/>
    <s v="CUST-125"/>
    <x v="4"/>
    <x v="2"/>
    <x v="8"/>
    <n v="1"/>
    <n v="289.89999999999998"/>
    <n v="95"/>
    <x v="8"/>
    <n v="95"/>
    <n v="194.9"/>
    <x v="0"/>
    <x v="1"/>
  </r>
  <r>
    <s v="ZOV-1098"/>
    <x v="97"/>
    <s v="CUST-229"/>
    <x v="6"/>
    <x v="1"/>
    <x v="4"/>
    <n v="1"/>
    <n v="159.9"/>
    <n v="52"/>
    <x v="4"/>
    <n v="52"/>
    <n v="107.9"/>
    <x v="2"/>
    <x v="2"/>
  </r>
  <r>
    <s v="ZOV-1099"/>
    <x v="98"/>
    <s v="CUST-325"/>
    <x v="0"/>
    <x v="2"/>
    <x v="8"/>
    <n v="1"/>
    <n v="289.89999999999998"/>
    <n v="95"/>
    <x v="8"/>
    <n v="95"/>
    <n v="194.9"/>
    <x v="1"/>
    <x v="1"/>
  </r>
  <r>
    <s v="ZOV-1100"/>
    <x v="99"/>
    <s v="CUST-172"/>
    <x v="0"/>
    <x v="2"/>
    <x v="8"/>
    <n v="1"/>
    <n v="289.89999999999998"/>
    <n v="95"/>
    <x v="8"/>
    <n v="95"/>
    <n v="194.9"/>
    <x v="2"/>
    <x v="2"/>
  </r>
  <r>
    <s v="ZOV-1101"/>
    <x v="100"/>
    <s v="CUST-280"/>
    <x v="4"/>
    <x v="2"/>
    <x v="5"/>
    <n v="1"/>
    <n v="319.89999999999998"/>
    <n v="105"/>
    <x v="5"/>
    <n v="105"/>
    <n v="214.9"/>
    <x v="0"/>
    <x v="1"/>
  </r>
  <r>
    <s v="ZOV-1102"/>
    <x v="101"/>
    <s v="CUST-235"/>
    <x v="1"/>
    <x v="0"/>
    <x v="11"/>
    <n v="2"/>
    <n v="89.9"/>
    <n v="25"/>
    <x v="25"/>
    <n v="50"/>
    <n v="129.80000000000001"/>
    <x v="2"/>
    <x v="3"/>
  </r>
  <r>
    <s v="ZOV-1103"/>
    <x v="102"/>
    <s v="CUST-176"/>
    <x v="2"/>
    <x v="1"/>
    <x v="3"/>
    <n v="3"/>
    <n v="139.9"/>
    <n v="45"/>
    <x v="11"/>
    <n v="135"/>
    <n v="284.7"/>
    <x v="0"/>
    <x v="0"/>
  </r>
  <r>
    <s v="ZOV-1104"/>
    <x v="103"/>
    <s v="CUST-129"/>
    <x v="1"/>
    <x v="1"/>
    <x v="3"/>
    <n v="2"/>
    <n v="139.9"/>
    <n v="45"/>
    <x v="1"/>
    <n v="90"/>
    <n v="189.8"/>
    <x v="2"/>
    <x v="1"/>
  </r>
  <r>
    <s v="ZOV-1105"/>
    <x v="104"/>
    <s v="CUST-139"/>
    <x v="2"/>
    <x v="1"/>
    <x v="4"/>
    <n v="3"/>
    <n v="159.9"/>
    <n v="52"/>
    <x v="28"/>
    <n v="156"/>
    <n v="323.7"/>
    <x v="0"/>
    <x v="1"/>
  </r>
  <r>
    <s v="ZOV-1106"/>
    <x v="105"/>
    <s v="CUST-153"/>
    <x v="0"/>
    <x v="1"/>
    <x v="4"/>
    <n v="1"/>
    <n v="159.9"/>
    <n v="52"/>
    <x v="4"/>
    <n v="52"/>
    <n v="107.9"/>
    <x v="1"/>
    <x v="1"/>
  </r>
  <r>
    <s v="ZOV-1107"/>
    <x v="106"/>
    <s v="CUST-318"/>
    <x v="3"/>
    <x v="0"/>
    <x v="12"/>
    <n v="4"/>
    <n v="79.900000000000006"/>
    <n v="22"/>
    <x v="29"/>
    <n v="88"/>
    <n v="231.6"/>
    <x v="0"/>
    <x v="1"/>
  </r>
  <r>
    <s v="ZOV-1108"/>
    <x v="107"/>
    <s v="CUST-164"/>
    <x v="5"/>
    <x v="3"/>
    <x v="6"/>
    <n v="1"/>
    <n v="249.9"/>
    <n v="80"/>
    <x v="24"/>
    <n v="80"/>
    <n v="169.9"/>
    <x v="1"/>
    <x v="0"/>
  </r>
  <r>
    <s v="ZOV-1109"/>
    <x v="108"/>
    <s v="CUST-208"/>
    <x v="5"/>
    <x v="2"/>
    <x v="5"/>
    <n v="1"/>
    <n v="319.89999999999998"/>
    <n v="105"/>
    <x v="5"/>
    <n v="105"/>
    <n v="214.9"/>
    <x v="0"/>
    <x v="1"/>
  </r>
  <r>
    <s v="ZOV-1110"/>
    <x v="109"/>
    <s v="CUST-185"/>
    <x v="0"/>
    <x v="1"/>
    <x v="1"/>
    <n v="2"/>
    <n v="139.9"/>
    <n v="45"/>
    <x v="1"/>
    <n v="90"/>
    <n v="189.8"/>
    <x v="0"/>
    <x v="1"/>
  </r>
  <r>
    <s v="ZOV-1111"/>
    <x v="110"/>
    <s v="CUST-141"/>
    <x v="2"/>
    <x v="3"/>
    <x v="10"/>
    <n v="1"/>
    <n v="279.89999999999998"/>
    <n v="90"/>
    <x v="12"/>
    <n v="90"/>
    <n v="189.9"/>
    <x v="0"/>
    <x v="1"/>
  </r>
  <r>
    <s v="ZOV-1112"/>
    <x v="111"/>
    <s v="CUST-280"/>
    <x v="0"/>
    <x v="1"/>
    <x v="2"/>
    <n v="1"/>
    <n v="169.9"/>
    <n v="55"/>
    <x v="2"/>
    <n v="55"/>
    <n v="114.9"/>
    <x v="0"/>
    <x v="1"/>
  </r>
  <r>
    <s v="ZOV-1113"/>
    <x v="112"/>
    <s v="CUST-128"/>
    <x v="7"/>
    <x v="1"/>
    <x v="3"/>
    <n v="1"/>
    <n v="139.9"/>
    <n v="45"/>
    <x v="3"/>
    <n v="45"/>
    <n v="94.9"/>
    <x v="1"/>
    <x v="1"/>
  </r>
  <r>
    <s v="ZOV-1114"/>
    <x v="113"/>
    <s v="CUST-239"/>
    <x v="2"/>
    <x v="1"/>
    <x v="3"/>
    <n v="1"/>
    <n v="139.9"/>
    <n v="45"/>
    <x v="3"/>
    <n v="45"/>
    <n v="94.9"/>
    <x v="2"/>
    <x v="1"/>
  </r>
  <r>
    <s v="ZOV-1115"/>
    <x v="114"/>
    <s v="CUST-241"/>
    <x v="2"/>
    <x v="3"/>
    <x v="6"/>
    <n v="1"/>
    <n v="249.9"/>
    <n v="80"/>
    <x v="24"/>
    <n v="80"/>
    <n v="169.9"/>
    <x v="0"/>
    <x v="1"/>
  </r>
  <r>
    <s v="ZOV-1116"/>
    <x v="115"/>
    <s v="CUST-110"/>
    <x v="5"/>
    <x v="1"/>
    <x v="4"/>
    <n v="3"/>
    <n v="159.9"/>
    <n v="52"/>
    <x v="28"/>
    <n v="156"/>
    <n v="323.7"/>
    <x v="1"/>
    <x v="0"/>
  </r>
  <r>
    <s v="ZOV-1117"/>
    <x v="116"/>
    <s v="CUST-330"/>
    <x v="0"/>
    <x v="0"/>
    <x v="12"/>
    <n v="1"/>
    <n v="79.900000000000006"/>
    <n v="22"/>
    <x v="27"/>
    <n v="22"/>
    <n v="57.9"/>
    <x v="1"/>
    <x v="1"/>
  </r>
  <r>
    <s v="ZOV-1118"/>
    <x v="117"/>
    <s v="CUST-270"/>
    <x v="1"/>
    <x v="1"/>
    <x v="3"/>
    <n v="1"/>
    <n v="139.9"/>
    <n v="45"/>
    <x v="3"/>
    <n v="45"/>
    <n v="94.9"/>
    <x v="1"/>
    <x v="0"/>
  </r>
  <r>
    <s v="ZOV-1119"/>
    <x v="118"/>
    <s v="CUST-326"/>
    <x v="1"/>
    <x v="2"/>
    <x v="5"/>
    <n v="1"/>
    <n v="319.89999999999998"/>
    <n v="105"/>
    <x v="5"/>
    <n v="105"/>
    <n v="214.9"/>
    <x v="1"/>
    <x v="1"/>
  </r>
  <r>
    <s v="ZOV-1120"/>
    <x v="119"/>
    <s v="CUST-336"/>
    <x v="0"/>
    <x v="2"/>
    <x v="8"/>
    <n v="1"/>
    <n v="289.89999999999998"/>
    <n v="95"/>
    <x v="8"/>
    <n v="95"/>
    <n v="194.9"/>
    <x v="1"/>
    <x v="0"/>
  </r>
  <r>
    <s v="ZOV-1121"/>
    <x v="120"/>
    <s v="CUST-325"/>
    <x v="1"/>
    <x v="1"/>
    <x v="2"/>
    <n v="1"/>
    <n v="169.9"/>
    <n v="55"/>
    <x v="2"/>
    <n v="55"/>
    <n v="114.9"/>
    <x v="1"/>
    <x v="0"/>
  </r>
  <r>
    <s v="ZOV-1122"/>
    <x v="121"/>
    <s v="CUST-288"/>
    <x v="0"/>
    <x v="1"/>
    <x v="4"/>
    <n v="1"/>
    <n v="159.9"/>
    <n v="52"/>
    <x v="4"/>
    <n v="52"/>
    <n v="107.9"/>
    <x v="0"/>
    <x v="1"/>
  </r>
  <r>
    <s v="ZOV-1123"/>
    <x v="122"/>
    <s v="CUST-305"/>
    <x v="1"/>
    <x v="3"/>
    <x v="10"/>
    <n v="1"/>
    <n v="279.89999999999998"/>
    <n v="90"/>
    <x v="12"/>
    <n v="90"/>
    <n v="189.9"/>
    <x v="1"/>
    <x v="1"/>
  </r>
  <r>
    <s v="ZOV-1124"/>
    <x v="123"/>
    <s v="CUST-168"/>
    <x v="6"/>
    <x v="1"/>
    <x v="1"/>
    <n v="1"/>
    <n v="139.9"/>
    <n v="45"/>
    <x v="3"/>
    <n v="45"/>
    <n v="94.9"/>
    <x v="0"/>
    <x v="1"/>
  </r>
  <r>
    <s v="ZOV-1125"/>
    <x v="124"/>
    <s v="CUST-197"/>
    <x v="1"/>
    <x v="1"/>
    <x v="3"/>
    <n v="1"/>
    <n v="139.9"/>
    <n v="45"/>
    <x v="3"/>
    <n v="45"/>
    <n v="94.9"/>
    <x v="1"/>
    <x v="1"/>
  </r>
  <r>
    <s v="ZOV-1126"/>
    <x v="125"/>
    <s v="CUST-151"/>
    <x v="0"/>
    <x v="2"/>
    <x v="5"/>
    <n v="2"/>
    <n v="319.89999999999998"/>
    <n v="105"/>
    <x v="30"/>
    <n v="210"/>
    <n v="429.8"/>
    <x v="1"/>
    <x v="0"/>
  </r>
  <r>
    <s v="ZOV-1127"/>
    <x v="126"/>
    <s v="CUST-310"/>
    <x v="7"/>
    <x v="3"/>
    <x v="6"/>
    <n v="1"/>
    <n v="249.9"/>
    <n v="80"/>
    <x v="24"/>
    <n v="80"/>
    <n v="169.9"/>
    <x v="0"/>
    <x v="0"/>
  </r>
  <r>
    <s v="ZOV-1128"/>
    <x v="127"/>
    <s v="CUST-268"/>
    <x v="0"/>
    <x v="2"/>
    <x v="8"/>
    <n v="1"/>
    <n v="289.89999999999998"/>
    <n v="95"/>
    <x v="8"/>
    <n v="95"/>
    <n v="194.9"/>
    <x v="1"/>
    <x v="1"/>
  </r>
  <r>
    <s v="ZOV-1129"/>
    <x v="128"/>
    <s v="CUST-171"/>
    <x v="1"/>
    <x v="1"/>
    <x v="3"/>
    <n v="1"/>
    <n v="139.9"/>
    <n v="45"/>
    <x v="3"/>
    <n v="45"/>
    <n v="94.9"/>
    <x v="1"/>
    <x v="0"/>
  </r>
  <r>
    <s v="ZOV-1130"/>
    <x v="129"/>
    <s v="CUST-189"/>
    <x v="6"/>
    <x v="2"/>
    <x v="9"/>
    <n v="2"/>
    <n v="259.89999999999998"/>
    <n v="82"/>
    <x v="13"/>
    <n v="164"/>
    <n v="355.8"/>
    <x v="0"/>
    <x v="1"/>
  </r>
  <r>
    <s v="ZOV-1131"/>
    <x v="130"/>
    <s v="CUST-273"/>
    <x v="1"/>
    <x v="2"/>
    <x v="9"/>
    <n v="1"/>
    <n v="259.89999999999998"/>
    <n v="82"/>
    <x v="10"/>
    <n v="82"/>
    <n v="177.9"/>
    <x v="0"/>
    <x v="1"/>
  </r>
  <r>
    <s v="ZOV-1132"/>
    <x v="131"/>
    <s v="CUST-129"/>
    <x v="1"/>
    <x v="1"/>
    <x v="4"/>
    <n v="1"/>
    <n v="159.9"/>
    <n v="52"/>
    <x v="4"/>
    <n v="52"/>
    <n v="107.9"/>
    <x v="0"/>
    <x v="1"/>
  </r>
  <r>
    <s v="ZOV-1133"/>
    <x v="132"/>
    <s v="CUST-346"/>
    <x v="0"/>
    <x v="0"/>
    <x v="12"/>
    <n v="1"/>
    <n v="79.900000000000006"/>
    <n v="22"/>
    <x v="27"/>
    <n v="22"/>
    <n v="57.9"/>
    <x v="1"/>
    <x v="0"/>
  </r>
  <r>
    <s v="ZOV-1134"/>
    <x v="133"/>
    <s v="CUST-252"/>
    <x v="1"/>
    <x v="1"/>
    <x v="2"/>
    <n v="1"/>
    <n v="169.9"/>
    <n v="55"/>
    <x v="2"/>
    <n v="55"/>
    <n v="114.9"/>
    <x v="1"/>
    <x v="0"/>
  </r>
  <r>
    <s v="ZOV-1135"/>
    <x v="134"/>
    <s v="CUST-211"/>
    <x v="1"/>
    <x v="3"/>
    <x v="10"/>
    <n v="1"/>
    <n v="279.89999999999998"/>
    <n v="90"/>
    <x v="12"/>
    <n v="90"/>
    <n v="189.9"/>
    <x v="0"/>
    <x v="1"/>
  </r>
  <r>
    <s v="ZOV-1136"/>
    <x v="135"/>
    <s v="CUST-198"/>
    <x v="9"/>
    <x v="1"/>
    <x v="1"/>
    <n v="1"/>
    <n v="139.9"/>
    <n v="45"/>
    <x v="3"/>
    <n v="45"/>
    <n v="94.9"/>
    <x v="2"/>
    <x v="2"/>
  </r>
  <r>
    <s v="ZOV-1137"/>
    <x v="136"/>
    <s v="CUST-281"/>
    <x v="3"/>
    <x v="1"/>
    <x v="2"/>
    <n v="1"/>
    <n v="169.9"/>
    <n v="55"/>
    <x v="2"/>
    <n v="55"/>
    <n v="114.9"/>
    <x v="0"/>
    <x v="1"/>
  </r>
  <r>
    <s v="ZOV-1138"/>
    <x v="137"/>
    <s v="CUST-336"/>
    <x v="2"/>
    <x v="2"/>
    <x v="9"/>
    <n v="1"/>
    <n v="259.89999999999998"/>
    <n v="82"/>
    <x v="10"/>
    <n v="82"/>
    <n v="177.9"/>
    <x v="0"/>
    <x v="0"/>
  </r>
  <r>
    <s v="ZOV-1139"/>
    <x v="138"/>
    <s v="CUST-193"/>
    <x v="1"/>
    <x v="1"/>
    <x v="2"/>
    <n v="1"/>
    <n v="169.9"/>
    <n v="55"/>
    <x v="2"/>
    <n v="55"/>
    <n v="114.9"/>
    <x v="1"/>
    <x v="0"/>
  </r>
  <r>
    <s v="ZOV-1140"/>
    <x v="139"/>
    <s v="CUST-259"/>
    <x v="2"/>
    <x v="1"/>
    <x v="4"/>
    <n v="1"/>
    <n v="159.9"/>
    <n v="52"/>
    <x v="4"/>
    <n v="52"/>
    <n v="107.9"/>
    <x v="1"/>
    <x v="1"/>
  </r>
  <r>
    <s v="ZOV-1141"/>
    <x v="140"/>
    <s v="CUST-284"/>
    <x v="2"/>
    <x v="1"/>
    <x v="4"/>
    <n v="1"/>
    <n v="159.9"/>
    <n v="52"/>
    <x v="4"/>
    <n v="52"/>
    <n v="107.9"/>
    <x v="1"/>
    <x v="0"/>
  </r>
  <r>
    <s v="ZOV-1142"/>
    <x v="141"/>
    <s v="CUST-270"/>
    <x v="9"/>
    <x v="1"/>
    <x v="2"/>
    <n v="2"/>
    <n v="169.9"/>
    <n v="55"/>
    <x v="26"/>
    <n v="110"/>
    <n v="229.8"/>
    <x v="1"/>
    <x v="1"/>
  </r>
  <r>
    <s v="ZOV-1143"/>
    <x v="142"/>
    <s v="CUST-278"/>
    <x v="7"/>
    <x v="2"/>
    <x v="5"/>
    <n v="1"/>
    <n v="319.89999999999998"/>
    <n v="105"/>
    <x v="5"/>
    <n v="105"/>
    <n v="214.9"/>
    <x v="1"/>
    <x v="1"/>
  </r>
  <r>
    <s v="ZOV-1144"/>
    <x v="143"/>
    <s v="CUST-149"/>
    <x v="6"/>
    <x v="3"/>
    <x v="7"/>
    <n v="3"/>
    <n v="219.9"/>
    <n v="70"/>
    <x v="31"/>
    <n v="210"/>
    <n v="449.7"/>
    <x v="1"/>
    <x v="1"/>
  </r>
  <r>
    <s v="ZOV-1145"/>
    <x v="144"/>
    <s v="CUST-273"/>
    <x v="6"/>
    <x v="1"/>
    <x v="1"/>
    <n v="1"/>
    <n v="139.9"/>
    <n v="45"/>
    <x v="3"/>
    <n v="45"/>
    <n v="94.9"/>
    <x v="0"/>
    <x v="1"/>
  </r>
  <r>
    <s v="ZOV-1146"/>
    <x v="145"/>
    <s v="CUST-177"/>
    <x v="8"/>
    <x v="1"/>
    <x v="2"/>
    <n v="2"/>
    <n v="169.9"/>
    <n v="55"/>
    <x v="26"/>
    <n v="110"/>
    <n v="229.8"/>
    <x v="1"/>
    <x v="0"/>
  </r>
  <r>
    <s v="ZOV-1147"/>
    <x v="146"/>
    <s v="CUST-177"/>
    <x v="1"/>
    <x v="3"/>
    <x v="7"/>
    <n v="2"/>
    <n v="219.9"/>
    <n v="70"/>
    <x v="22"/>
    <n v="140"/>
    <n v="299.8"/>
    <x v="0"/>
    <x v="1"/>
  </r>
  <r>
    <s v="ZOV-1148"/>
    <x v="147"/>
    <s v="CUST-301"/>
    <x v="8"/>
    <x v="1"/>
    <x v="4"/>
    <n v="2"/>
    <n v="159.9"/>
    <n v="52"/>
    <x v="17"/>
    <n v="104"/>
    <n v="215.8"/>
    <x v="1"/>
    <x v="1"/>
  </r>
  <r>
    <s v="ZOV-1149"/>
    <x v="148"/>
    <s v="CUST-213"/>
    <x v="0"/>
    <x v="1"/>
    <x v="1"/>
    <n v="2"/>
    <n v="139.9"/>
    <n v="45"/>
    <x v="1"/>
    <n v="90"/>
    <n v="189.8"/>
    <x v="0"/>
    <x v="0"/>
  </r>
  <r>
    <s v="ZOV-1150"/>
    <x v="149"/>
    <s v="CUST-303"/>
    <x v="6"/>
    <x v="1"/>
    <x v="1"/>
    <n v="1"/>
    <n v="139.9"/>
    <n v="45"/>
    <x v="3"/>
    <n v="45"/>
    <n v="94.9"/>
    <x v="2"/>
    <x v="3"/>
  </r>
  <r>
    <s v="ZOV-1151"/>
    <x v="150"/>
    <s v="CUST-172"/>
    <x v="1"/>
    <x v="0"/>
    <x v="0"/>
    <n v="1"/>
    <n v="129.9"/>
    <n v="40"/>
    <x v="21"/>
    <n v="40"/>
    <n v="89.9"/>
    <x v="1"/>
    <x v="0"/>
  </r>
  <r>
    <s v="ZOV-1152"/>
    <x v="151"/>
    <s v="CUST-258"/>
    <x v="3"/>
    <x v="2"/>
    <x v="5"/>
    <n v="1"/>
    <n v="319.89999999999998"/>
    <n v="105"/>
    <x v="5"/>
    <n v="105"/>
    <n v="214.9"/>
    <x v="2"/>
    <x v="2"/>
  </r>
  <r>
    <s v="ZOV-1153"/>
    <x v="152"/>
    <s v="CUST-272"/>
    <x v="1"/>
    <x v="1"/>
    <x v="4"/>
    <n v="1"/>
    <n v="159.9"/>
    <n v="52"/>
    <x v="4"/>
    <n v="52"/>
    <n v="107.9"/>
    <x v="0"/>
    <x v="0"/>
  </r>
  <r>
    <s v="ZOV-1154"/>
    <x v="153"/>
    <s v="CUST-137"/>
    <x v="2"/>
    <x v="3"/>
    <x v="6"/>
    <n v="2"/>
    <n v="249.9"/>
    <n v="80"/>
    <x v="9"/>
    <n v="160"/>
    <n v="339.8"/>
    <x v="1"/>
    <x v="1"/>
  </r>
  <r>
    <s v="ZOV-1155"/>
    <x v="154"/>
    <s v="CUST-221"/>
    <x v="1"/>
    <x v="3"/>
    <x v="10"/>
    <n v="1"/>
    <n v="279.89999999999998"/>
    <n v="90"/>
    <x v="12"/>
    <n v="90"/>
    <n v="189.9"/>
    <x v="1"/>
    <x v="1"/>
  </r>
  <r>
    <s v="ZOV-1156"/>
    <x v="155"/>
    <s v="CUST-216"/>
    <x v="1"/>
    <x v="1"/>
    <x v="2"/>
    <n v="2"/>
    <n v="169.9"/>
    <n v="55"/>
    <x v="26"/>
    <n v="110"/>
    <n v="229.8"/>
    <x v="0"/>
    <x v="1"/>
  </r>
  <r>
    <s v="ZOV-1157"/>
    <x v="156"/>
    <s v="CUST-149"/>
    <x v="4"/>
    <x v="2"/>
    <x v="9"/>
    <n v="1"/>
    <n v="259.89999999999998"/>
    <n v="82"/>
    <x v="10"/>
    <n v="82"/>
    <n v="177.9"/>
    <x v="1"/>
    <x v="0"/>
  </r>
  <r>
    <s v="ZOV-1158"/>
    <x v="157"/>
    <s v="CUST-226"/>
    <x v="6"/>
    <x v="2"/>
    <x v="5"/>
    <n v="1"/>
    <n v="319.89999999999998"/>
    <n v="105"/>
    <x v="5"/>
    <n v="105"/>
    <n v="214.9"/>
    <x v="1"/>
    <x v="1"/>
  </r>
  <r>
    <s v="ZOV-1159"/>
    <x v="158"/>
    <s v="CUST-267"/>
    <x v="1"/>
    <x v="2"/>
    <x v="9"/>
    <n v="1"/>
    <n v="259.89999999999998"/>
    <n v="82"/>
    <x v="10"/>
    <n v="82"/>
    <n v="177.9"/>
    <x v="0"/>
    <x v="0"/>
  </r>
  <r>
    <s v="ZOV-1160"/>
    <x v="159"/>
    <s v="CUST-299"/>
    <x v="8"/>
    <x v="0"/>
    <x v="12"/>
    <n v="1"/>
    <n v="79.900000000000006"/>
    <n v="22"/>
    <x v="27"/>
    <n v="22"/>
    <n v="57.9"/>
    <x v="0"/>
    <x v="1"/>
  </r>
  <r>
    <s v="ZOV-1161"/>
    <x v="160"/>
    <s v="CUST-305"/>
    <x v="7"/>
    <x v="1"/>
    <x v="2"/>
    <n v="1"/>
    <n v="169.9"/>
    <n v="55"/>
    <x v="2"/>
    <n v="55"/>
    <n v="114.9"/>
    <x v="0"/>
    <x v="1"/>
  </r>
  <r>
    <s v="ZOV-1162"/>
    <x v="161"/>
    <s v="CUST-163"/>
    <x v="7"/>
    <x v="0"/>
    <x v="11"/>
    <n v="3"/>
    <n v="89.9"/>
    <n v="25"/>
    <x v="23"/>
    <n v="75"/>
    <n v="194.7"/>
    <x v="1"/>
    <x v="0"/>
  </r>
  <r>
    <s v="ZOV-1163"/>
    <x v="162"/>
    <s v="CUST-305"/>
    <x v="9"/>
    <x v="3"/>
    <x v="7"/>
    <n v="1"/>
    <n v="219.9"/>
    <n v="70"/>
    <x v="7"/>
    <n v="70"/>
    <n v="149.9"/>
    <x v="2"/>
    <x v="2"/>
  </r>
  <r>
    <s v="ZOV-1164"/>
    <x v="163"/>
    <s v="CUST-243"/>
    <x v="2"/>
    <x v="2"/>
    <x v="9"/>
    <n v="1"/>
    <n v="259.89999999999998"/>
    <n v="82"/>
    <x v="10"/>
    <n v="82"/>
    <n v="177.9"/>
    <x v="1"/>
    <x v="1"/>
  </r>
  <r>
    <s v="ZOV-1165"/>
    <x v="164"/>
    <s v="CUST-256"/>
    <x v="3"/>
    <x v="1"/>
    <x v="2"/>
    <n v="1"/>
    <n v="169.9"/>
    <n v="55"/>
    <x v="2"/>
    <n v="55"/>
    <n v="114.9"/>
    <x v="1"/>
    <x v="1"/>
  </r>
  <r>
    <s v="ZOV-1166"/>
    <x v="165"/>
    <s v="CUST-329"/>
    <x v="6"/>
    <x v="1"/>
    <x v="1"/>
    <n v="1"/>
    <n v="139.9"/>
    <n v="45"/>
    <x v="3"/>
    <n v="45"/>
    <n v="94.9"/>
    <x v="0"/>
    <x v="1"/>
  </r>
  <r>
    <s v="ZOV-1167"/>
    <x v="166"/>
    <s v="CUST-215"/>
    <x v="1"/>
    <x v="2"/>
    <x v="5"/>
    <n v="1"/>
    <n v="319.89999999999998"/>
    <n v="105"/>
    <x v="5"/>
    <n v="105"/>
    <n v="214.9"/>
    <x v="1"/>
    <x v="1"/>
  </r>
  <r>
    <s v="ZOV-1168"/>
    <x v="167"/>
    <s v="CUST-315"/>
    <x v="0"/>
    <x v="0"/>
    <x v="0"/>
    <n v="1"/>
    <n v="129.9"/>
    <n v="40"/>
    <x v="21"/>
    <n v="40"/>
    <n v="89.9"/>
    <x v="0"/>
    <x v="1"/>
  </r>
  <r>
    <s v="ZOV-1169"/>
    <x v="168"/>
    <s v="CUST-224"/>
    <x v="1"/>
    <x v="2"/>
    <x v="9"/>
    <n v="1"/>
    <n v="259.89999999999998"/>
    <n v="82"/>
    <x v="10"/>
    <n v="82"/>
    <n v="177.9"/>
    <x v="2"/>
    <x v="1"/>
  </r>
  <r>
    <s v="ZOV-1170"/>
    <x v="169"/>
    <s v="CUST-212"/>
    <x v="0"/>
    <x v="1"/>
    <x v="3"/>
    <n v="4"/>
    <n v="139.9"/>
    <n v="45"/>
    <x v="32"/>
    <n v="180"/>
    <n v="379.6"/>
    <x v="0"/>
    <x v="1"/>
  </r>
  <r>
    <s v="ZOV-1171"/>
    <x v="170"/>
    <s v="CUST-160"/>
    <x v="1"/>
    <x v="3"/>
    <x v="7"/>
    <n v="1"/>
    <n v="219.9"/>
    <n v="70"/>
    <x v="7"/>
    <n v="70"/>
    <n v="149.9"/>
    <x v="2"/>
    <x v="1"/>
  </r>
  <r>
    <s v="ZOV-1172"/>
    <x v="171"/>
    <s v="CUST-328"/>
    <x v="1"/>
    <x v="1"/>
    <x v="3"/>
    <n v="1"/>
    <n v="139.9"/>
    <n v="45"/>
    <x v="3"/>
    <n v="45"/>
    <n v="94.9"/>
    <x v="0"/>
    <x v="0"/>
  </r>
  <r>
    <s v="ZOV-1173"/>
    <x v="172"/>
    <s v="CUST-159"/>
    <x v="3"/>
    <x v="2"/>
    <x v="5"/>
    <n v="1"/>
    <n v="319.89999999999998"/>
    <n v="105"/>
    <x v="5"/>
    <n v="105"/>
    <n v="214.9"/>
    <x v="1"/>
    <x v="1"/>
  </r>
  <r>
    <s v="ZOV-1174"/>
    <x v="173"/>
    <s v="CUST-280"/>
    <x v="2"/>
    <x v="1"/>
    <x v="1"/>
    <n v="1"/>
    <n v="139.9"/>
    <n v="45"/>
    <x v="3"/>
    <n v="45"/>
    <n v="94.9"/>
    <x v="0"/>
    <x v="3"/>
  </r>
  <r>
    <s v="ZOV-1175"/>
    <x v="174"/>
    <s v="CUST-204"/>
    <x v="0"/>
    <x v="1"/>
    <x v="4"/>
    <n v="1"/>
    <n v="159.9"/>
    <n v="52"/>
    <x v="4"/>
    <n v="52"/>
    <n v="107.9"/>
    <x v="1"/>
    <x v="0"/>
  </r>
  <r>
    <s v="ZOV-1176"/>
    <x v="175"/>
    <s v="CUST-206"/>
    <x v="1"/>
    <x v="3"/>
    <x v="6"/>
    <n v="2"/>
    <n v="249.9"/>
    <n v="80"/>
    <x v="9"/>
    <n v="160"/>
    <n v="339.8"/>
    <x v="1"/>
    <x v="0"/>
  </r>
  <r>
    <s v="ZOV-1177"/>
    <x v="176"/>
    <s v="CUST-199"/>
    <x v="1"/>
    <x v="2"/>
    <x v="9"/>
    <n v="1"/>
    <n v="259.89999999999998"/>
    <n v="82"/>
    <x v="10"/>
    <n v="82"/>
    <n v="177.9"/>
    <x v="1"/>
    <x v="1"/>
  </r>
  <r>
    <s v="ZOV-1178"/>
    <x v="177"/>
    <s v="CUST-319"/>
    <x v="1"/>
    <x v="2"/>
    <x v="9"/>
    <n v="1"/>
    <n v="259.89999999999998"/>
    <n v="82"/>
    <x v="10"/>
    <n v="82"/>
    <n v="177.9"/>
    <x v="1"/>
    <x v="0"/>
  </r>
  <r>
    <s v="ZOV-1179"/>
    <x v="178"/>
    <s v="CUST-101"/>
    <x v="7"/>
    <x v="3"/>
    <x v="7"/>
    <n v="2"/>
    <n v="219.9"/>
    <n v="70"/>
    <x v="22"/>
    <n v="140"/>
    <n v="299.8"/>
    <x v="1"/>
    <x v="1"/>
  </r>
  <r>
    <s v="ZOV-1180"/>
    <x v="179"/>
    <s v="CUST-318"/>
    <x v="1"/>
    <x v="1"/>
    <x v="2"/>
    <n v="2"/>
    <n v="169.9"/>
    <n v="55"/>
    <x v="26"/>
    <n v="110"/>
    <n v="229.8"/>
    <x v="1"/>
    <x v="0"/>
  </r>
  <r>
    <s v="ZOV-1181"/>
    <x v="180"/>
    <s v="CUST-304"/>
    <x v="1"/>
    <x v="1"/>
    <x v="1"/>
    <n v="1"/>
    <n v="139.9"/>
    <n v="45"/>
    <x v="3"/>
    <n v="45"/>
    <n v="94.9"/>
    <x v="0"/>
    <x v="1"/>
  </r>
  <r>
    <s v="ZOV-1182"/>
    <x v="181"/>
    <s v="CUST-169"/>
    <x v="6"/>
    <x v="3"/>
    <x v="7"/>
    <n v="1"/>
    <n v="219.9"/>
    <n v="70"/>
    <x v="7"/>
    <n v="70"/>
    <n v="149.9"/>
    <x v="1"/>
    <x v="1"/>
  </r>
  <r>
    <s v="ZOV-1183"/>
    <x v="182"/>
    <s v="CUST-199"/>
    <x v="2"/>
    <x v="1"/>
    <x v="4"/>
    <n v="1"/>
    <n v="159.9"/>
    <n v="52"/>
    <x v="4"/>
    <n v="52"/>
    <n v="107.9"/>
    <x v="1"/>
    <x v="1"/>
  </r>
  <r>
    <s v="ZOV-1184"/>
    <x v="183"/>
    <s v="CUST-285"/>
    <x v="0"/>
    <x v="1"/>
    <x v="1"/>
    <n v="3"/>
    <n v="139.9"/>
    <n v="45"/>
    <x v="11"/>
    <n v="135"/>
    <n v="284.7"/>
    <x v="0"/>
    <x v="0"/>
  </r>
  <r>
    <s v="ZOV-1185"/>
    <x v="184"/>
    <s v="CUST-259"/>
    <x v="8"/>
    <x v="2"/>
    <x v="9"/>
    <n v="2"/>
    <n v="259.89999999999998"/>
    <n v="82"/>
    <x v="13"/>
    <n v="164"/>
    <n v="355.8"/>
    <x v="0"/>
    <x v="1"/>
  </r>
  <r>
    <s v="ZOV-1186"/>
    <x v="185"/>
    <s v="CUST-251"/>
    <x v="1"/>
    <x v="1"/>
    <x v="3"/>
    <n v="1"/>
    <n v="139.9"/>
    <n v="45"/>
    <x v="3"/>
    <n v="45"/>
    <n v="94.9"/>
    <x v="0"/>
    <x v="1"/>
  </r>
  <r>
    <s v="ZOV-1187"/>
    <x v="186"/>
    <s v="CUST-209"/>
    <x v="1"/>
    <x v="3"/>
    <x v="6"/>
    <n v="4"/>
    <n v="249.9"/>
    <n v="80"/>
    <x v="33"/>
    <n v="320"/>
    <n v="679.6"/>
    <x v="0"/>
    <x v="0"/>
  </r>
  <r>
    <s v="ZOV-1188"/>
    <x v="187"/>
    <s v="CUST-112"/>
    <x v="1"/>
    <x v="1"/>
    <x v="4"/>
    <n v="3"/>
    <n v="159.9"/>
    <n v="52"/>
    <x v="28"/>
    <n v="156"/>
    <n v="323.7"/>
    <x v="1"/>
    <x v="1"/>
  </r>
  <r>
    <s v="ZOV-1189"/>
    <x v="188"/>
    <s v="CUST-154"/>
    <x v="1"/>
    <x v="2"/>
    <x v="5"/>
    <n v="2"/>
    <n v="319.89999999999998"/>
    <n v="105"/>
    <x v="30"/>
    <n v="210"/>
    <n v="429.8"/>
    <x v="0"/>
    <x v="0"/>
  </r>
  <r>
    <s v="ZOV-1190"/>
    <x v="189"/>
    <s v="CUST-294"/>
    <x v="1"/>
    <x v="1"/>
    <x v="2"/>
    <n v="3"/>
    <n v="169.9"/>
    <n v="55"/>
    <x v="14"/>
    <n v="165"/>
    <n v="344.7"/>
    <x v="0"/>
    <x v="1"/>
  </r>
  <r>
    <s v="ZOV-1191"/>
    <x v="190"/>
    <s v="CUST-164"/>
    <x v="2"/>
    <x v="2"/>
    <x v="8"/>
    <n v="1"/>
    <n v="289.89999999999998"/>
    <n v="95"/>
    <x v="8"/>
    <n v="95"/>
    <n v="194.9"/>
    <x v="2"/>
    <x v="1"/>
  </r>
  <r>
    <s v="ZOV-1192"/>
    <x v="191"/>
    <s v="CUST-291"/>
    <x v="0"/>
    <x v="2"/>
    <x v="9"/>
    <n v="1"/>
    <n v="259.89999999999998"/>
    <n v="82"/>
    <x v="10"/>
    <n v="82"/>
    <n v="177.9"/>
    <x v="1"/>
    <x v="1"/>
  </r>
  <r>
    <s v="ZOV-1193"/>
    <x v="192"/>
    <s v="CUST-157"/>
    <x v="1"/>
    <x v="2"/>
    <x v="9"/>
    <n v="1"/>
    <n v="259.89999999999998"/>
    <n v="82"/>
    <x v="10"/>
    <n v="82"/>
    <n v="177.9"/>
    <x v="1"/>
    <x v="0"/>
  </r>
  <r>
    <s v="ZOV-1194"/>
    <x v="193"/>
    <s v="CUST-110"/>
    <x v="0"/>
    <x v="3"/>
    <x v="6"/>
    <n v="1"/>
    <n v="249.9"/>
    <n v="80"/>
    <x v="24"/>
    <n v="80"/>
    <n v="169.9"/>
    <x v="0"/>
    <x v="1"/>
  </r>
  <r>
    <s v="ZOV-1195"/>
    <x v="194"/>
    <s v="CUST-314"/>
    <x v="4"/>
    <x v="0"/>
    <x v="11"/>
    <n v="2"/>
    <n v="89.9"/>
    <n v="25"/>
    <x v="25"/>
    <n v="50"/>
    <n v="129.80000000000001"/>
    <x v="1"/>
    <x v="0"/>
  </r>
  <r>
    <s v="ZOV-1196"/>
    <x v="195"/>
    <s v="CUST-161"/>
    <x v="1"/>
    <x v="2"/>
    <x v="8"/>
    <n v="1"/>
    <n v="289.89999999999998"/>
    <n v="95"/>
    <x v="8"/>
    <n v="95"/>
    <n v="194.9"/>
    <x v="1"/>
    <x v="1"/>
  </r>
  <r>
    <s v="ZOV-1197"/>
    <x v="196"/>
    <s v="CUST-244"/>
    <x v="1"/>
    <x v="3"/>
    <x v="6"/>
    <n v="1"/>
    <n v="249.9"/>
    <n v="80"/>
    <x v="24"/>
    <n v="80"/>
    <n v="169.9"/>
    <x v="1"/>
    <x v="1"/>
  </r>
  <r>
    <s v="ZOV-1198"/>
    <x v="197"/>
    <s v="CUST-296"/>
    <x v="0"/>
    <x v="2"/>
    <x v="5"/>
    <n v="1"/>
    <n v="319.89999999999998"/>
    <n v="105"/>
    <x v="5"/>
    <n v="105"/>
    <n v="214.9"/>
    <x v="1"/>
    <x v="1"/>
  </r>
  <r>
    <s v="ZOV-1199"/>
    <x v="198"/>
    <s v="CUST-255"/>
    <x v="3"/>
    <x v="2"/>
    <x v="9"/>
    <n v="1"/>
    <n v="259.89999999999998"/>
    <n v="82"/>
    <x v="10"/>
    <n v="82"/>
    <n v="177.9"/>
    <x v="0"/>
    <x v="1"/>
  </r>
  <r>
    <s v="ZOV-1200"/>
    <x v="199"/>
    <s v="CUST-299"/>
    <x v="1"/>
    <x v="0"/>
    <x v="11"/>
    <n v="1"/>
    <n v="89.9"/>
    <n v="25"/>
    <x v="19"/>
    <n v="25"/>
    <n v="64.900000000000006"/>
    <x v="2"/>
    <x v="1"/>
  </r>
  <r>
    <s v="ZOV-1201"/>
    <x v="200"/>
    <s v="CUST-248"/>
    <x v="1"/>
    <x v="2"/>
    <x v="8"/>
    <n v="2"/>
    <n v="289.89999999999998"/>
    <n v="95"/>
    <x v="18"/>
    <n v="190"/>
    <n v="389.8"/>
    <x v="0"/>
    <x v="1"/>
  </r>
  <r>
    <s v="ZOV-1202"/>
    <x v="201"/>
    <s v="CUST-273"/>
    <x v="4"/>
    <x v="2"/>
    <x v="5"/>
    <n v="2"/>
    <n v="319.89999999999998"/>
    <n v="105"/>
    <x v="30"/>
    <n v="210"/>
    <n v="429.8"/>
    <x v="1"/>
    <x v="1"/>
  </r>
  <r>
    <s v="ZOV-1203"/>
    <x v="202"/>
    <s v="CUST-119"/>
    <x v="1"/>
    <x v="0"/>
    <x v="0"/>
    <n v="3"/>
    <n v="129.9"/>
    <n v="40"/>
    <x v="20"/>
    <n v="120"/>
    <n v="269.7"/>
    <x v="1"/>
    <x v="1"/>
  </r>
  <r>
    <s v="ZOV-1204"/>
    <x v="203"/>
    <s v="CUST-162"/>
    <x v="6"/>
    <x v="1"/>
    <x v="3"/>
    <n v="1"/>
    <n v="139.9"/>
    <n v="45"/>
    <x v="3"/>
    <n v="45"/>
    <n v="94.9"/>
    <x v="2"/>
    <x v="0"/>
  </r>
  <r>
    <s v="ZOV-1205"/>
    <x v="204"/>
    <s v="CUST-317"/>
    <x v="4"/>
    <x v="1"/>
    <x v="3"/>
    <n v="3"/>
    <n v="139.9"/>
    <n v="45"/>
    <x v="11"/>
    <n v="135"/>
    <n v="284.7"/>
    <x v="2"/>
    <x v="2"/>
  </r>
  <r>
    <s v="ZOV-1206"/>
    <x v="205"/>
    <s v="CUST-188"/>
    <x v="0"/>
    <x v="3"/>
    <x v="10"/>
    <n v="2"/>
    <n v="279.89999999999998"/>
    <n v="90"/>
    <x v="16"/>
    <n v="180"/>
    <n v="379.8"/>
    <x v="1"/>
    <x v="1"/>
  </r>
  <r>
    <s v="ZOV-1207"/>
    <x v="206"/>
    <s v="CUST-117"/>
    <x v="1"/>
    <x v="2"/>
    <x v="9"/>
    <n v="1"/>
    <n v="259.89999999999998"/>
    <n v="82"/>
    <x v="10"/>
    <n v="82"/>
    <n v="177.9"/>
    <x v="1"/>
    <x v="0"/>
  </r>
  <r>
    <s v="ZOV-1208"/>
    <x v="207"/>
    <s v="CUST-103"/>
    <x v="4"/>
    <x v="1"/>
    <x v="2"/>
    <n v="2"/>
    <n v="169.9"/>
    <n v="55"/>
    <x v="26"/>
    <n v="110"/>
    <n v="229.8"/>
    <x v="1"/>
    <x v="1"/>
  </r>
  <r>
    <s v="ZOV-1209"/>
    <x v="208"/>
    <s v="CUST-210"/>
    <x v="2"/>
    <x v="3"/>
    <x v="7"/>
    <n v="1"/>
    <n v="219.9"/>
    <n v="70"/>
    <x v="7"/>
    <n v="70"/>
    <n v="149.9"/>
    <x v="0"/>
    <x v="1"/>
  </r>
  <r>
    <s v="ZOV-1210"/>
    <x v="209"/>
    <s v="CUST-281"/>
    <x v="2"/>
    <x v="1"/>
    <x v="1"/>
    <n v="1"/>
    <n v="139.9"/>
    <n v="45"/>
    <x v="3"/>
    <n v="45"/>
    <n v="94.9"/>
    <x v="0"/>
    <x v="0"/>
  </r>
  <r>
    <s v="ZOV-1211"/>
    <x v="210"/>
    <s v="CUST-287"/>
    <x v="8"/>
    <x v="2"/>
    <x v="9"/>
    <n v="3"/>
    <n v="259.89999999999998"/>
    <n v="82"/>
    <x v="34"/>
    <n v="246"/>
    <n v="533.70000000000005"/>
    <x v="0"/>
    <x v="3"/>
  </r>
  <r>
    <s v="ZOV-1212"/>
    <x v="211"/>
    <s v="CUST-257"/>
    <x v="0"/>
    <x v="3"/>
    <x v="10"/>
    <n v="1"/>
    <n v="279.89999999999998"/>
    <n v="90"/>
    <x v="12"/>
    <n v="90"/>
    <n v="189.9"/>
    <x v="1"/>
    <x v="1"/>
  </r>
  <r>
    <s v="ZOV-1213"/>
    <x v="212"/>
    <s v="CUST-219"/>
    <x v="8"/>
    <x v="0"/>
    <x v="12"/>
    <n v="2"/>
    <n v="79.900000000000006"/>
    <n v="22"/>
    <x v="35"/>
    <n v="44"/>
    <n v="115.8"/>
    <x v="1"/>
    <x v="1"/>
  </r>
  <r>
    <s v="ZOV-1214"/>
    <x v="213"/>
    <s v="CUST-168"/>
    <x v="7"/>
    <x v="1"/>
    <x v="4"/>
    <n v="1"/>
    <n v="159.9"/>
    <n v="52"/>
    <x v="4"/>
    <n v="52"/>
    <n v="107.9"/>
    <x v="1"/>
    <x v="0"/>
  </r>
  <r>
    <s v="ZOV-1215"/>
    <x v="214"/>
    <s v="CUST-171"/>
    <x v="1"/>
    <x v="1"/>
    <x v="2"/>
    <n v="1"/>
    <n v="169.9"/>
    <n v="55"/>
    <x v="2"/>
    <n v="55"/>
    <n v="114.9"/>
    <x v="1"/>
    <x v="3"/>
  </r>
  <r>
    <s v="ZOV-1216"/>
    <x v="215"/>
    <s v="CUST-245"/>
    <x v="0"/>
    <x v="1"/>
    <x v="2"/>
    <n v="2"/>
    <n v="169.9"/>
    <n v="55"/>
    <x v="26"/>
    <n v="110"/>
    <n v="229.8"/>
    <x v="1"/>
    <x v="1"/>
  </r>
  <r>
    <s v="ZOV-1217"/>
    <x v="216"/>
    <s v="CUST-226"/>
    <x v="3"/>
    <x v="1"/>
    <x v="4"/>
    <n v="1"/>
    <n v="159.9"/>
    <n v="52"/>
    <x v="4"/>
    <n v="52"/>
    <n v="107.9"/>
    <x v="0"/>
    <x v="3"/>
  </r>
  <r>
    <s v="ZOV-1218"/>
    <x v="217"/>
    <s v="CUST-154"/>
    <x v="0"/>
    <x v="2"/>
    <x v="5"/>
    <n v="1"/>
    <n v="319.89999999999998"/>
    <n v="105"/>
    <x v="5"/>
    <n v="105"/>
    <n v="214.9"/>
    <x v="2"/>
    <x v="1"/>
  </r>
  <r>
    <s v="ZOV-1219"/>
    <x v="218"/>
    <s v="CUST-171"/>
    <x v="5"/>
    <x v="2"/>
    <x v="9"/>
    <n v="1"/>
    <n v="259.89999999999998"/>
    <n v="82"/>
    <x v="10"/>
    <n v="82"/>
    <n v="177.9"/>
    <x v="0"/>
    <x v="0"/>
  </r>
  <r>
    <s v="ZOV-1220"/>
    <x v="219"/>
    <s v="CUST-242"/>
    <x v="1"/>
    <x v="1"/>
    <x v="3"/>
    <n v="1"/>
    <n v="139.9"/>
    <n v="45"/>
    <x v="3"/>
    <n v="45"/>
    <n v="94.9"/>
    <x v="0"/>
    <x v="1"/>
  </r>
  <r>
    <s v="ZOV-1221"/>
    <x v="220"/>
    <s v="CUST-121"/>
    <x v="1"/>
    <x v="0"/>
    <x v="11"/>
    <n v="2"/>
    <n v="89.9"/>
    <n v="25"/>
    <x v="25"/>
    <n v="50"/>
    <n v="129.80000000000001"/>
    <x v="2"/>
    <x v="2"/>
  </r>
  <r>
    <s v="ZOV-1222"/>
    <x v="221"/>
    <s v="CUST-225"/>
    <x v="1"/>
    <x v="1"/>
    <x v="1"/>
    <n v="2"/>
    <n v="139.9"/>
    <n v="45"/>
    <x v="1"/>
    <n v="90"/>
    <n v="189.8"/>
    <x v="0"/>
    <x v="0"/>
  </r>
  <r>
    <s v="ZOV-1223"/>
    <x v="222"/>
    <s v="CUST-265"/>
    <x v="3"/>
    <x v="1"/>
    <x v="2"/>
    <n v="1"/>
    <n v="169.9"/>
    <n v="55"/>
    <x v="2"/>
    <n v="55"/>
    <n v="114.9"/>
    <x v="0"/>
    <x v="1"/>
  </r>
  <r>
    <s v="ZOV-1224"/>
    <x v="223"/>
    <s v="CUST-123"/>
    <x v="2"/>
    <x v="1"/>
    <x v="4"/>
    <n v="2"/>
    <n v="159.9"/>
    <n v="52"/>
    <x v="17"/>
    <n v="104"/>
    <n v="215.8"/>
    <x v="1"/>
    <x v="0"/>
  </r>
  <r>
    <s v="ZOV-1225"/>
    <x v="224"/>
    <s v="CUST-277"/>
    <x v="8"/>
    <x v="0"/>
    <x v="11"/>
    <n v="2"/>
    <n v="89.9"/>
    <n v="25"/>
    <x v="25"/>
    <n v="50"/>
    <n v="129.80000000000001"/>
    <x v="0"/>
    <x v="1"/>
  </r>
  <r>
    <s v="ZOV-1226"/>
    <x v="225"/>
    <s v="CUST-194"/>
    <x v="2"/>
    <x v="1"/>
    <x v="2"/>
    <n v="1"/>
    <n v="169.9"/>
    <n v="55"/>
    <x v="2"/>
    <n v="55"/>
    <n v="114.9"/>
    <x v="1"/>
    <x v="0"/>
  </r>
  <r>
    <s v="ZOV-1227"/>
    <x v="226"/>
    <s v="CUST-188"/>
    <x v="7"/>
    <x v="2"/>
    <x v="5"/>
    <n v="1"/>
    <n v="319.89999999999998"/>
    <n v="105"/>
    <x v="5"/>
    <n v="105"/>
    <n v="214.9"/>
    <x v="1"/>
    <x v="1"/>
  </r>
  <r>
    <s v="ZOV-1228"/>
    <x v="227"/>
    <s v="CUST-184"/>
    <x v="1"/>
    <x v="3"/>
    <x v="7"/>
    <n v="1"/>
    <n v="219.9"/>
    <n v="70"/>
    <x v="7"/>
    <n v="70"/>
    <n v="149.9"/>
    <x v="1"/>
    <x v="1"/>
  </r>
  <r>
    <s v="ZOV-1229"/>
    <x v="228"/>
    <s v="CUST-169"/>
    <x v="3"/>
    <x v="1"/>
    <x v="4"/>
    <n v="2"/>
    <n v="159.9"/>
    <n v="52"/>
    <x v="17"/>
    <n v="104"/>
    <n v="215.8"/>
    <x v="0"/>
    <x v="1"/>
  </r>
  <r>
    <s v="ZOV-1230"/>
    <x v="229"/>
    <s v="CUST-130"/>
    <x v="8"/>
    <x v="3"/>
    <x v="10"/>
    <n v="2"/>
    <n v="279.89999999999998"/>
    <n v="90"/>
    <x v="16"/>
    <n v="180"/>
    <n v="379.8"/>
    <x v="0"/>
    <x v="1"/>
  </r>
  <r>
    <s v="ZOV-1231"/>
    <x v="230"/>
    <s v="CUST-130"/>
    <x v="7"/>
    <x v="3"/>
    <x v="10"/>
    <n v="2"/>
    <n v="279.89999999999998"/>
    <n v="90"/>
    <x v="16"/>
    <n v="180"/>
    <n v="379.8"/>
    <x v="0"/>
    <x v="1"/>
  </r>
  <r>
    <s v="ZOV-1232"/>
    <x v="231"/>
    <s v="CUST-149"/>
    <x v="7"/>
    <x v="1"/>
    <x v="1"/>
    <n v="2"/>
    <n v="139.9"/>
    <n v="45"/>
    <x v="1"/>
    <n v="90"/>
    <n v="189.8"/>
    <x v="0"/>
    <x v="0"/>
  </r>
  <r>
    <s v="ZOV-1233"/>
    <x v="232"/>
    <s v="CUST-170"/>
    <x v="3"/>
    <x v="1"/>
    <x v="4"/>
    <n v="1"/>
    <n v="159.9"/>
    <n v="52"/>
    <x v="4"/>
    <n v="52"/>
    <n v="107.9"/>
    <x v="0"/>
    <x v="0"/>
  </r>
  <r>
    <s v="ZOV-1234"/>
    <x v="233"/>
    <s v="CUST-175"/>
    <x v="3"/>
    <x v="3"/>
    <x v="6"/>
    <n v="1"/>
    <n v="249.9"/>
    <n v="80"/>
    <x v="24"/>
    <n v="80"/>
    <n v="169.9"/>
    <x v="1"/>
    <x v="0"/>
  </r>
  <r>
    <s v="ZOV-1235"/>
    <x v="234"/>
    <s v="CUST-177"/>
    <x v="2"/>
    <x v="0"/>
    <x v="11"/>
    <n v="1"/>
    <n v="89.9"/>
    <n v="25"/>
    <x v="19"/>
    <n v="25"/>
    <n v="64.900000000000006"/>
    <x v="1"/>
    <x v="1"/>
  </r>
  <r>
    <s v="ZOV-1236"/>
    <x v="235"/>
    <s v="CUST-132"/>
    <x v="2"/>
    <x v="3"/>
    <x v="7"/>
    <n v="1"/>
    <n v="219.9"/>
    <n v="70"/>
    <x v="7"/>
    <n v="70"/>
    <n v="149.9"/>
    <x v="0"/>
    <x v="1"/>
  </r>
  <r>
    <s v="ZOV-1237"/>
    <x v="236"/>
    <s v="CUST-241"/>
    <x v="5"/>
    <x v="1"/>
    <x v="4"/>
    <n v="1"/>
    <n v="159.9"/>
    <n v="52"/>
    <x v="4"/>
    <n v="52"/>
    <n v="107.9"/>
    <x v="2"/>
    <x v="1"/>
  </r>
  <r>
    <s v="ZOV-1238"/>
    <x v="237"/>
    <s v="CUST-263"/>
    <x v="6"/>
    <x v="2"/>
    <x v="5"/>
    <n v="1"/>
    <n v="319.89999999999998"/>
    <n v="105"/>
    <x v="5"/>
    <n v="105"/>
    <n v="214.9"/>
    <x v="1"/>
    <x v="1"/>
  </r>
  <r>
    <s v="ZOV-1239"/>
    <x v="238"/>
    <s v="CUST-246"/>
    <x v="1"/>
    <x v="2"/>
    <x v="5"/>
    <n v="1"/>
    <n v="319.89999999999998"/>
    <n v="105"/>
    <x v="5"/>
    <n v="105"/>
    <n v="214.9"/>
    <x v="0"/>
    <x v="0"/>
  </r>
  <r>
    <s v="ZOV-1240"/>
    <x v="239"/>
    <s v="CUST-212"/>
    <x v="8"/>
    <x v="0"/>
    <x v="12"/>
    <n v="3"/>
    <n v="79.900000000000006"/>
    <n v="22"/>
    <x v="36"/>
    <n v="66"/>
    <n v="173.7"/>
    <x v="0"/>
    <x v="0"/>
  </r>
  <r>
    <s v="ZOV-1241"/>
    <x v="240"/>
    <s v="CUST-164"/>
    <x v="7"/>
    <x v="1"/>
    <x v="2"/>
    <n v="1"/>
    <n v="169.9"/>
    <n v="55"/>
    <x v="2"/>
    <n v="55"/>
    <n v="114.9"/>
    <x v="1"/>
    <x v="1"/>
  </r>
  <r>
    <s v="ZOV-1242"/>
    <x v="241"/>
    <s v="CUST-202"/>
    <x v="3"/>
    <x v="2"/>
    <x v="5"/>
    <n v="1"/>
    <n v="319.89999999999998"/>
    <n v="105"/>
    <x v="5"/>
    <n v="105"/>
    <n v="214.9"/>
    <x v="1"/>
    <x v="3"/>
  </r>
  <r>
    <s v="ZOV-1243"/>
    <x v="242"/>
    <s v="CUST-261"/>
    <x v="0"/>
    <x v="2"/>
    <x v="9"/>
    <n v="1"/>
    <n v="259.89999999999998"/>
    <n v="82"/>
    <x v="10"/>
    <n v="82"/>
    <n v="177.9"/>
    <x v="0"/>
    <x v="1"/>
  </r>
  <r>
    <s v="ZOV-1244"/>
    <x v="243"/>
    <s v="CUST-138"/>
    <x v="1"/>
    <x v="1"/>
    <x v="4"/>
    <n v="2"/>
    <n v="159.9"/>
    <n v="52"/>
    <x v="17"/>
    <n v="104"/>
    <n v="215.8"/>
    <x v="0"/>
    <x v="1"/>
  </r>
  <r>
    <s v="ZOV-1245"/>
    <x v="244"/>
    <s v="CUST-130"/>
    <x v="5"/>
    <x v="1"/>
    <x v="2"/>
    <n v="1"/>
    <n v="169.9"/>
    <n v="55"/>
    <x v="2"/>
    <n v="55"/>
    <n v="114.9"/>
    <x v="2"/>
    <x v="1"/>
  </r>
  <r>
    <s v="ZOV-1246"/>
    <x v="245"/>
    <s v="CUST-302"/>
    <x v="4"/>
    <x v="1"/>
    <x v="1"/>
    <n v="1"/>
    <n v="139.9"/>
    <n v="45"/>
    <x v="3"/>
    <n v="45"/>
    <n v="94.9"/>
    <x v="2"/>
    <x v="1"/>
  </r>
  <r>
    <s v="ZOV-1247"/>
    <x v="246"/>
    <s v="CUST-197"/>
    <x v="6"/>
    <x v="1"/>
    <x v="2"/>
    <n v="1"/>
    <n v="169.9"/>
    <n v="55"/>
    <x v="2"/>
    <n v="55"/>
    <n v="114.9"/>
    <x v="1"/>
    <x v="1"/>
  </r>
  <r>
    <s v="ZOV-1248"/>
    <x v="247"/>
    <s v="CUST-320"/>
    <x v="0"/>
    <x v="3"/>
    <x v="10"/>
    <n v="1"/>
    <n v="279.89999999999998"/>
    <n v="90"/>
    <x v="12"/>
    <n v="90"/>
    <n v="189.9"/>
    <x v="2"/>
    <x v="1"/>
  </r>
  <r>
    <s v="ZOV-1249"/>
    <x v="248"/>
    <s v="CUST-245"/>
    <x v="8"/>
    <x v="3"/>
    <x v="10"/>
    <n v="2"/>
    <n v="279.89999999999998"/>
    <n v="90"/>
    <x v="16"/>
    <n v="180"/>
    <n v="379.8"/>
    <x v="0"/>
    <x v="1"/>
  </r>
  <r>
    <s v="ZOV-1250"/>
    <x v="249"/>
    <s v="CUST-345"/>
    <x v="4"/>
    <x v="1"/>
    <x v="3"/>
    <n v="1"/>
    <n v="139.9"/>
    <n v="45"/>
    <x v="3"/>
    <n v="45"/>
    <n v="94.9"/>
    <x v="2"/>
    <x v="3"/>
  </r>
  <r>
    <s v="ZOV-1251"/>
    <x v="250"/>
    <s v="CUST-260"/>
    <x v="3"/>
    <x v="2"/>
    <x v="8"/>
    <n v="1"/>
    <n v="289.89999999999998"/>
    <n v="95"/>
    <x v="8"/>
    <n v="95"/>
    <n v="194.9"/>
    <x v="1"/>
    <x v="1"/>
  </r>
  <r>
    <s v="ZOV-1252"/>
    <x v="251"/>
    <s v="CUST-140"/>
    <x v="0"/>
    <x v="1"/>
    <x v="1"/>
    <n v="1"/>
    <n v="139.9"/>
    <n v="45"/>
    <x v="3"/>
    <n v="45"/>
    <n v="94.9"/>
    <x v="1"/>
    <x v="1"/>
  </r>
  <r>
    <s v="ZOV-1253"/>
    <x v="252"/>
    <s v="CUST-119"/>
    <x v="1"/>
    <x v="3"/>
    <x v="6"/>
    <n v="1"/>
    <n v="249.9"/>
    <n v="80"/>
    <x v="24"/>
    <n v="80"/>
    <n v="169.9"/>
    <x v="1"/>
    <x v="0"/>
  </r>
  <r>
    <s v="ZOV-1254"/>
    <x v="253"/>
    <s v="CUST-215"/>
    <x v="1"/>
    <x v="1"/>
    <x v="2"/>
    <n v="1"/>
    <n v="169.9"/>
    <n v="55"/>
    <x v="2"/>
    <n v="55"/>
    <n v="114.9"/>
    <x v="0"/>
    <x v="1"/>
  </r>
  <r>
    <s v="ZOV-1255"/>
    <x v="254"/>
    <s v="CUST-159"/>
    <x v="4"/>
    <x v="3"/>
    <x v="7"/>
    <n v="2"/>
    <n v="219.9"/>
    <n v="70"/>
    <x v="22"/>
    <n v="140"/>
    <n v="299.8"/>
    <x v="1"/>
    <x v="1"/>
  </r>
  <r>
    <s v="ZOV-1256"/>
    <x v="255"/>
    <s v="CUST-279"/>
    <x v="1"/>
    <x v="1"/>
    <x v="2"/>
    <n v="4"/>
    <n v="169.9"/>
    <n v="55"/>
    <x v="37"/>
    <n v="220"/>
    <n v="459.6"/>
    <x v="1"/>
    <x v="1"/>
  </r>
  <r>
    <s v="ZOV-1257"/>
    <x v="256"/>
    <s v="CUST-336"/>
    <x v="2"/>
    <x v="3"/>
    <x v="7"/>
    <n v="1"/>
    <n v="219.9"/>
    <n v="70"/>
    <x v="7"/>
    <n v="70"/>
    <n v="149.9"/>
    <x v="1"/>
    <x v="1"/>
  </r>
  <r>
    <s v="ZOV-1258"/>
    <x v="257"/>
    <s v="CUST-250"/>
    <x v="2"/>
    <x v="1"/>
    <x v="1"/>
    <n v="1"/>
    <n v="139.9"/>
    <n v="45"/>
    <x v="3"/>
    <n v="45"/>
    <n v="94.9"/>
    <x v="1"/>
    <x v="0"/>
  </r>
  <r>
    <s v="ZOV-1259"/>
    <x v="258"/>
    <s v="CUST-239"/>
    <x v="0"/>
    <x v="1"/>
    <x v="1"/>
    <n v="1"/>
    <n v="139.9"/>
    <n v="45"/>
    <x v="3"/>
    <n v="45"/>
    <n v="94.9"/>
    <x v="0"/>
    <x v="1"/>
  </r>
  <r>
    <s v="ZOV-1260"/>
    <x v="259"/>
    <s v="CUST-332"/>
    <x v="1"/>
    <x v="1"/>
    <x v="4"/>
    <n v="1"/>
    <n v="159.9"/>
    <n v="52"/>
    <x v="4"/>
    <n v="52"/>
    <n v="107.9"/>
    <x v="0"/>
    <x v="1"/>
  </r>
  <r>
    <s v="ZOV-1261"/>
    <x v="260"/>
    <s v="CUST-115"/>
    <x v="1"/>
    <x v="0"/>
    <x v="11"/>
    <n v="1"/>
    <n v="89.9"/>
    <n v="25"/>
    <x v="19"/>
    <n v="25"/>
    <n v="64.900000000000006"/>
    <x v="0"/>
    <x v="1"/>
  </r>
  <r>
    <s v="ZOV-1262"/>
    <x v="261"/>
    <s v="CUST-291"/>
    <x v="8"/>
    <x v="3"/>
    <x v="10"/>
    <n v="2"/>
    <n v="279.89999999999998"/>
    <n v="90"/>
    <x v="16"/>
    <n v="180"/>
    <n v="379.8"/>
    <x v="1"/>
    <x v="1"/>
  </r>
  <r>
    <s v="ZOV-1263"/>
    <x v="262"/>
    <s v="CUST-131"/>
    <x v="1"/>
    <x v="3"/>
    <x v="7"/>
    <n v="1"/>
    <n v="219.9"/>
    <n v="70"/>
    <x v="7"/>
    <n v="70"/>
    <n v="149.9"/>
    <x v="0"/>
    <x v="1"/>
  </r>
  <r>
    <s v="ZOV-1264"/>
    <x v="263"/>
    <s v="CUST-279"/>
    <x v="4"/>
    <x v="2"/>
    <x v="5"/>
    <n v="2"/>
    <n v="319.89999999999998"/>
    <n v="105"/>
    <x v="30"/>
    <n v="210"/>
    <n v="429.8"/>
    <x v="1"/>
    <x v="0"/>
  </r>
  <r>
    <s v="ZOV-1265"/>
    <x v="264"/>
    <s v="CUST-238"/>
    <x v="1"/>
    <x v="1"/>
    <x v="2"/>
    <n v="2"/>
    <n v="169.9"/>
    <n v="55"/>
    <x v="26"/>
    <n v="110"/>
    <n v="229.8"/>
    <x v="1"/>
    <x v="3"/>
  </r>
  <r>
    <s v="ZOV-1266"/>
    <x v="265"/>
    <s v="CUST-253"/>
    <x v="1"/>
    <x v="1"/>
    <x v="3"/>
    <n v="2"/>
    <n v="139.9"/>
    <n v="45"/>
    <x v="1"/>
    <n v="90"/>
    <n v="189.8"/>
    <x v="0"/>
    <x v="1"/>
  </r>
  <r>
    <s v="ZOV-1267"/>
    <x v="266"/>
    <s v="CUST-254"/>
    <x v="2"/>
    <x v="3"/>
    <x v="7"/>
    <n v="1"/>
    <n v="219.9"/>
    <n v="70"/>
    <x v="7"/>
    <n v="70"/>
    <n v="149.9"/>
    <x v="2"/>
    <x v="2"/>
  </r>
  <r>
    <s v="ZOV-1268"/>
    <x v="267"/>
    <s v="CUST-158"/>
    <x v="4"/>
    <x v="1"/>
    <x v="3"/>
    <n v="2"/>
    <n v="139.9"/>
    <n v="45"/>
    <x v="1"/>
    <n v="90"/>
    <n v="189.8"/>
    <x v="1"/>
    <x v="0"/>
  </r>
  <r>
    <s v="ZOV-1269"/>
    <x v="268"/>
    <s v="CUST-247"/>
    <x v="1"/>
    <x v="2"/>
    <x v="8"/>
    <n v="2"/>
    <n v="289.89999999999998"/>
    <n v="95"/>
    <x v="18"/>
    <n v="190"/>
    <n v="389.8"/>
    <x v="0"/>
    <x v="1"/>
  </r>
  <r>
    <s v="ZOV-1270"/>
    <x v="269"/>
    <s v="CUST-220"/>
    <x v="0"/>
    <x v="1"/>
    <x v="2"/>
    <n v="1"/>
    <n v="169.9"/>
    <n v="55"/>
    <x v="2"/>
    <n v="55"/>
    <n v="114.9"/>
    <x v="2"/>
    <x v="0"/>
  </r>
  <r>
    <s v="ZOV-1271"/>
    <x v="270"/>
    <s v="CUST-249"/>
    <x v="8"/>
    <x v="2"/>
    <x v="5"/>
    <n v="1"/>
    <n v="319.89999999999998"/>
    <n v="105"/>
    <x v="5"/>
    <n v="105"/>
    <n v="214.9"/>
    <x v="0"/>
    <x v="1"/>
  </r>
  <r>
    <s v="ZOV-1272"/>
    <x v="271"/>
    <s v="CUST-348"/>
    <x v="8"/>
    <x v="0"/>
    <x v="11"/>
    <n v="1"/>
    <n v="89.9"/>
    <n v="25"/>
    <x v="19"/>
    <n v="25"/>
    <n v="64.900000000000006"/>
    <x v="1"/>
    <x v="1"/>
  </r>
  <r>
    <s v="ZOV-1273"/>
    <x v="272"/>
    <s v="CUST-204"/>
    <x v="6"/>
    <x v="1"/>
    <x v="4"/>
    <n v="1"/>
    <n v="159.9"/>
    <n v="52"/>
    <x v="4"/>
    <n v="52"/>
    <n v="107.9"/>
    <x v="0"/>
    <x v="1"/>
  </r>
  <r>
    <s v="ZOV-1274"/>
    <x v="273"/>
    <s v="CUST-319"/>
    <x v="1"/>
    <x v="3"/>
    <x v="6"/>
    <n v="3"/>
    <n v="249.9"/>
    <n v="80"/>
    <x v="6"/>
    <n v="240"/>
    <n v="509.7"/>
    <x v="1"/>
    <x v="0"/>
  </r>
  <r>
    <s v="ZOV-1275"/>
    <x v="274"/>
    <s v="CUST-277"/>
    <x v="9"/>
    <x v="1"/>
    <x v="2"/>
    <n v="2"/>
    <n v="169.9"/>
    <n v="55"/>
    <x v="26"/>
    <n v="110"/>
    <n v="229.8"/>
    <x v="1"/>
    <x v="0"/>
  </r>
  <r>
    <s v="ZOV-1276"/>
    <x v="275"/>
    <s v="CUST-308"/>
    <x v="8"/>
    <x v="1"/>
    <x v="3"/>
    <n v="1"/>
    <n v="139.9"/>
    <n v="45"/>
    <x v="3"/>
    <n v="45"/>
    <n v="94.9"/>
    <x v="1"/>
    <x v="1"/>
  </r>
  <r>
    <s v="ZOV-1277"/>
    <x v="276"/>
    <s v="CUST-180"/>
    <x v="1"/>
    <x v="1"/>
    <x v="4"/>
    <n v="3"/>
    <n v="159.9"/>
    <n v="52"/>
    <x v="28"/>
    <n v="156"/>
    <n v="323.7"/>
    <x v="1"/>
    <x v="1"/>
  </r>
  <r>
    <s v="ZOV-1278"/>
    <x v="277"/>
    <s v="CUST-348"/>
    <x v="1"/>
    <x v="3"/>
    <x v="7"/>
    <n v="1"/>
    <n v="219.9"/>
    <n v="70"/>
    <x v="7"/>
    <n v="70"/>
    <n v="149.9"/>
    <x v="2"/>
    <x v="1"/>
  </r>
  <r>
    <s v="ZOV-1279"/>
    <x v="278"/>
    <s v="CUST-268"/>
    <x v="1"/>
    <x v="1"/>
    <x v="2"/>
    <n v="1"/>
    <n v="169.9"/>
    <n v="55"/>
    <x v="2"/>
    <n v="55"/>
    <n v="114.9"/>
    <x v="0"/>
    <x v="1"/>
  </r>
  <r>
    <s v="ZOV-1280"/>
    <x v="279"/>
    <s v="CUST-148"/>
    <x v="3"/>
    <x v="1"/>
    <x v="4"/>
    <n v="1"/>
    <n v="159.9"/>
    <n v="52"/>
    <x v="4"/>
    <n v="52"/>
    <n v="107.9"/>
    <x v="0"/>
    <x v="1"/>
  </r>
  <r>
    <s v="ZOV-1281"/>
    <x v="280"/>
    <s v="CUST-260"/>
    <x v="1"/>
    <x v="1"/>
    <x v="2"/>
    <n v="1"/>
    <n v="169.9"/>
    <n v="55"/>
    <x v="2"/>
    <n v="55"/>
    <n v="114.9"/>
    <x v="0"/>
    <x v="1"/>
  </r>
  <r>
    <s v="ZOV-1282"/>
    <x v="281"/>
    <s v="CUST-152"/>
    <x v="0"/>
    <x v="3"/>
    <x v="7"/>
    <n v="2"/>
    <n v="219.9"/>
    <n v="70"/>
    <x v="22"/>
    <n v="140"/>
    <n v="299.8"/>
    <x v="0"/>
    <x v="1"/>
  </r>
  <r>
    <s v="ZOV-1283"/>
    <x v="282"/>
    <s v="CUST-337"/>
    <x v="1"/>
    <x v="1"/>
    <x v="4"/>
    <n v="1"/>
    <n v="159.9"/>
    <n v="52"/>
    <x v="4"/>
    <n v="52"/>
    <n v="107.9"/>
    <x v="1"/>
    <x v="1"/>
  </r>
  <r>
    <s v="ZOV-1284"/>
    <x v="283"/>
    <s v="CUST-131"/>
    <x v="6"/>
    <x v="1"/>
    <x v="3"/>
    <n v="1"/>
    <n v="139.9"/>
    <n v="45"/>
    <x v="3"/>
    <n v="45"/>
    <n v="94.9"/>
    <x v="1"/>
    <x v="1"/>
  </r>
  <r>
    <s v="ZOV-1285"/>
    <x v="284"/>
    <s v="CUST-304"/>
    <x v="1"/>
    <x v="2"/>
    <x v="8"/>
    <n v="1"/>
    <n v="289.89999999999998"/>
    <n v="95"/>
    <x v="8"/>
    <n v="95"/>
    <n v="194.9"/>
    <x v="1"/>
    <x v="3"/>
  </r>
  <r>
    <s v="ZOV-1286"/>
    <x v="285"/>
    <s v="CUST-179"/>
    <x v="5"/>
    <x v="1"/>
    <x v="3"/>
    <n v="3"/>
    <n v="139.9"/>
    <n v="45"/>
    <x v="11"/>
    <n v="135"/>
    <n v="284.7"/>
    <x v="0"/>
    <x v="1"/>
  </r>
  <r>
    <s v="ZOV-1287"/>
    <x v="286"/>
    <s v="CUST-123"/>
    <x v="0"/>
    <x v="2"/>
    <x v="8"/>
    <n v="1"/>
    <n v="289.89999999999998"/>
    <n v="95"/>
    <x v="8"/>
    <n v="95"/>
    <n v="194.9"/>
    <x v="0"/>
    <x v="0"/>
  </r>
  <r>
    <s v="ZOV-1288"/>
    <x v="287"/>
    <s v="CUST-342"/>
    <x v="1"/>
    <x v="1"/>
    <x v="3"/>
    <n v="2"/>
    <n v="139.9"/>
    <n v="45"/>
    <x v="1"/>
    <n v="90"/>
    <n v="189.8"/>
    <x v="1"/>
    <x v="1"/>
  </r>
  <r>
    <s v="ZOV-1289"/>
    <x v="288"/>
    <s v="CUST-227"/>
    <x v="5"/>
    <x v="1"/>
    <x v="4"/>
    <n v="2"/>
    <n v="159.9"/>
    <n v="52"/>
    <x v="17"/>
    <n v="104"/>
    <n v="215.8"/>
    <x v="1"/>
    <x v="1"/>
  </r>
  <r>
    <s v="ZOV-1290"/>
    <x v="289"/>
    <s v="CUST-206"/>
    <x v="1"/>
    <x v="2"/>
    <x v="5"/>
    <n v="2"/>
    <n v="319.89999999999998"/>
    <n v="105"/>
    <x v="30"/>
    <n v="210"/>
    <n v="429.8"/>
    <x v="2"/>
    <x v="3"/>
  </r>
  <r>
    <s v="ZOV-1291"/>
    <x v="290"/>
    <s v="CUST-216"/>
    <x v="0"/>
    <x v="2"/>
    <x v="9"/>
    <n v="2"/>
    <n v="259.89999999999998"/>
    <n v="82"/>
    <x v="13"/>
    <n v="164"/>
    <n v="355.8"/>
    <x v="0"/>
    <x v="0"/>
  </r>
  <r>
    <s v="ZOV-1292"/>
    <x v="291"/>
    <s v="CUST-148"/>
    <x v="6"/>
    <x v="2"/>
    <x v="9"/>
    <n v="2"/>
    <n v="259.89999999999998"/>
    <n v="82"/>
    <x v="13"/>
    <n v="164"/>
    <n v="355.8"/>
    <x v="1"/>
    <x v="1"/>
  </r>
  <r>
    <s v="ZOV-1293"/>
    <x v="292"/>
    <s v="CUST-321"/>
    <x v="0"/>
    <x v="2"/>
    <x v="8"/>
    <n v="1"/>
    <n v="289.89999999999998"/>
    <n v="95"/>
    <x v="8"/>
    <n v="95"/>
    <n v="194.9"/>
    <x v="0"/>
    <x v="3"/>
  </r>
  <r>
    <s v="ZOV-1294"/>
    <x v="293"/>
    <s v="CUST-187"/>
    <x v="1"/>
    <x v="0"/>
    <x v="0"/>
    <n v="1"/>
    <n v="129.9"/>
    <n v="40"/>
    <x v="21"/>
    <n v="40"/>
    <n v="89.9"/>
    <x v="0"/>
    <x v="1"/>
  </r>
  <r>
    <s v="ZOV-1295"/>
    <x v="294"/>
    <s v="CUST-172"/>
    <x v="2"/>
    <x v="3"/>
    <x v="10"/>
    <n v="2"/>
    <n v="279.89999999999998"/>
    <n v="90"/>
    <x v="16"/>
    <n v="180"/>
    <n v="379.8"/>
    <x v="1"/>
    <x v="1"/>
  </r>
  <r>
    <s v="ZOV-1296"/>
    <x v="295"/>
    <s v="CUST-248"/>
    <x v="4"/>
    <x v="3"/>
    <x v="10"/>
    <n v="2"/>
    <n v="279.89999999999998"/>
    <n v="90"/>
    <x v="16"/>
    <n v="180"/>
    <n v="379.8"/>
    <x v="0"/>
    <x v="1"/>
  </r>
  <r>
    <s v="ZOV-1297"/>
    <x v="296"/>
    <s v="CUST-214"/>
    <x v="3"/>
    <x v="1"/>
    <x v="2"/>
    <n v="1"/>
    <n v="169.9"/>
    <n v="55"/>
    <x v="2"/>
    <n v="55"/>
    <n v="114.9"/>
    <x v="1"/>
    <x v="1"/>
  </r>
  <r>
    <s v="ZOV-1298"/>
    <x v="297"/>
    <s v="CUST-241"/>
    <x v="0"/>
    <x v="1"/>
    <x v="2"/>
    <n v="2"/>
    <n v="169.9"/>
    <n v="55"/>
    <x v="26"/>
    <n v="110"/>
    <n v="229.8"/>
    <x v="1"/>
    <x v="1"/>
  </r>
  <r>
    <s v="ZOV-1299"/>
    <x v="298"/>
    <s v="CUST-322"/>
    <x v="1"/>
    <x v="1"/>
    <x v="1"/>
    <n v="1"/>
    <n v="139.9"/>
    <n v="45"/>
    <x v="3"/>
    <n v="45"/>
    <n v="94.9"/>
    <x v="1"/>
    <x v="1"/>
  </r>
  <r>
    <s v="ZOV-1300"/>
    <x v="299"/>
    <s v="CUST-246"/>
    <x v="4"/>
    <x v="2"/>
    <x v="5"/>
    <n v="1"/>
    <n v="319.89999999999998"/>
    <n v="105"/>
    <x v="5"/>
    <n v="105"/>
    <n v="214.9"/>
    <x v="1"/>
    <x v="1"/>
  </r>
  <r>
    <s v="ZOV-1301"/>
    <x v="300"/>
    <s v="CUST-111"/>
    <x v="2"/>
    <x v="2"/>
    <x v="5"/>
    <n v="1"/>
    <n v="319.89999999999998"/>
    <n v="105"/>
    <x v="5"/>
    <n v="105"/>
    <n v="214.9"/>
    <x v="1"/>
    <x v="1"/>
  </r>
  <r>
    <s v="ZOV-1302"/>
    <x v="301"/>
    <s v="CUST-280"/>
    <x v="0"/>
    <x v="2"/>
    <x v="5"/>
    <n v="1"/>
    <n v="319.89999999999998"/>
    <n v="105"/>
    <x v="5"/>
    <n v="105"/>
    <n v="214.9"/>
    <x v="0"/>
    <x v="1"/>
  </r>
  <r>
    <s v="ZOV-1303"/>
    <x v="302"/>
    <s v="CUST-138"/>
    <x v="3"/>
    <x v="3"/>
    <x v="7"/>
    <n v="3"/>
    <n v="219.9"/>
    <n v="70"/>
    <x v="31"/>
    <n v="210"/>
    <n v="449.7"/>
    <x v="1"/>
    <x v="0"/>
  </r>
  <r>
    <s v="ZOV-1304"/>
    <x v="303"/>
    <s v="CUST-228"/>
    <x v="1"/>
    <x v="2"/>
    <x v="9"/>
    <n v="2"/>
    <n v="259.89999999999998"/>
    <n v="82"/>
    <x v="13"/>
    <n v="164"/>
    <n v="355.8"/>
    <x v="1"/>
    <x v="1"/>
  </r>
  <r>
    <s v="ZOV-1305"/>
    <x v="304"/>
    <s v="CUST-323"/>
    <x v="1"/>
    <x v="0"/>
    <x v="12"/>
    <n v="1"/>
    <n v="79.900000000000006"/>
    <n v="22"/>
    <x v="27"/>
    <n v="22"/>
    <n v="57.9"/>
    <x v="1"/>
    <x v="1"/>
  </r>
  <r>
    <s v="ZOV-1306"/>
    <x v="305"/>
    <s v="CUST-333"/>
    <x v="1"/>
    <x v="1"/>
    <x v="2"/>
    <n v="1"/>
    <n v="169.9"/>
    <n v="55"/>
    <x v="2"/>
    <n v="55"/>
    <n v="114.9"/>
    <x v="0"/>
    <x v="1"/>
  </r>
  <r>
    <s v="ZOV-1307"/>
    <x v="306"/>
    <s v="CUST-204"/>
    <x v="1"/>
    <x v="2"/>
    <x v="9"/>
    <n v="2"/>
    <n v="259.89999999999998"/>
    <n v="82"/>
    <x v="13"/>
    <n v="164"/>
    <n v="355.8"/>
    <x v="1"/>
    <x v="1"/>
  </r>
  <r>
    <s v="ZOV-1308"/>
    <x v="307"/>
    <s v="CUST-220"/>
    <x v="1"/>
    <x v="1"/>
    <x v="4"/>
    <n v="2"/>
    <n v="159.9"/>
    <n v="52"/>
    <x v="17"/>
    <n v="104"/>
    <n v="215.8"/>
    <x v="1"/>
    <x v="1"/>
  </r>
  <r>
    <s v="ZOV-1309"/>
    <x v="308"/>
    <s v="CUST-277"/>
    <x v="7"/>
    <x v="1"/>
    <x v="2"/>
    <n v="1"/>
    <n v="169.9"/>
    <n v="55"/>
    <x v="2"/>
    <n v="55"/>
    <n v="114.9"/>
    <x v="1"/>
    <x v="3"/>
  </r>
  <r>
    <s v="ZOV-1310"/>
    <x v="309"/>
    <s v="CUST-318"/>
    <x v="0"/>
    <x v="3"/>
    <x v="7"/>
    <n v="1"/>
    <n v="219.9"/>
    <n v="70"/>
    <x v="7"/>
    <n v="70"/>
    <n v="149.9"/>
    <x v="1"/>
    <x v="1"/>
  </r>
  <r>
    <s v="ZOV-1311"/>
    <x v="310"/>
    <s v="CUST-197"/>
    <x v="5"/>
    <x v="2"/>
    <x v="5"/>
    <n v="2"/>
    <n v="319.89999999999998"/>
    <n v="105"/>
    <x v="30"/>
    <n v="210"/>
    <n v="429.8"/>
    <x v="2"/>
    <x v="1"/>
  </r>
  <r>
    <s v="ZOV-1312"/>
    <x v="311"/>
    <s v="CUST-323"/>
    <x v="1"/>
    <x v="2"/>
    <x v="9"/>
    <n v="1"/>
    <n v="259.89999999999998"/>
    <n v="82"/>
    <x v="10"/>
    <n v="82"/>
    <n v="177.9"/>
    <x v="0"/>
    <x v="1"/>
  </r>
  <r>
    <s v="ZOV-1313"/>
    <x v="312"/>
    <s v="CUST-117"/>
    <x v="0"/>
    <x v="1"/>
    <x v="1"/>
    <n v="2"/>
    <n v="139.9"/>
    <n v="45"/>
    <x v="1"/>
    <n v="90"/>
    <n v="189.8"/>
    <x v="1"/>
    <x v="1"/>
  </r>
  <r>
    <s v="ZOV-1314"/>
    <x v="313"/>
    <s v="CUST-158"/>
    <x v="0"/>
    <x v="2"/>
    <x v="9"/>
    <n v="1"/>
    <n v="259.89999999999998"/>
    <n v="82"/>
    <x v="10"/>
    <n v="82"/>
    <n v="177.9"/>
    <x v="0"/>
    <x v="1"/>
  </r>
  <r>
    <s v="ZOV-1315"/>
    <x v="314"/>
    <s v="CUST-350"/>
    <x v="2"/>
    <x v="1"/>
    <x v="3"/>
    <n v="2"/>
    <n v="139.9"/>
    <n v="45"/>
    <x v="1"/>
    <n v="90"/>
    <n v="189.8"/>
    <x v="0"/>
    <x v="0"/>
  </r>
  <r>
    <s v="ZOV-1316"/>
    <x v="315"/>
    <s v="CUST-280"/>
    <x v="1"/>
    <x v="1"/>
    <x v="3"/>
    <n v="1"/>
    <n v="139.9"/>
    <n v="45"/>
    <x v="3"/>
    <n v="45"/>
    <n v="94.9"/>
    <x v="0"/>
    <x v="1"/>
  </r>
  <r>
    <s v="ZOV-1317"/>
    <x v="316"/>
    <s v="CUST-277"/>
    <x v="1"/>
    <x v="1"/>
    <x v="4"/>
    <n v="1"/>
    <n v="159.9"/>
    <n v="52"/>
    <x v="4"/>
    <n v="52"/>
    <n v="107.9"/>
    <x v="1"/>
    <x v="3"/>
  </r>
  <r>
    <s v="ZOV-1318"/>
    <x v="317"/>
    <s v="CUST-183"/>
    <x v="1"/>
    <x v="2"/>
    <x v="8"/>
    <n v="1"/>
    <n v="289.89999999999998"/>
    <n v="95"/>
    <x v="8"/>
    <n v="95"/>
    <n v="194.9"/>
    <x v="1"/>
    <x v="1"/>
  </r>
  <r>
    <s v="ZOV-1319"/>
    <x v="318"/>
    <s v="CUST-195"/>
    <x v="4"/>
    <x v="0"/>
    <x v="12"/>
    <n v="1"/>
    <n v="79.900000000000006"/>
    <n v="22"/>
    <x v="27"/>
    <n v="22"/>
    <n v="57.9"/>
    <x v="1"/>
    <x v="1"/>
  </r>
  <r>
    <s v="ZOV-1320"/>
    <x v="319"/>
    <s v="CUST-235"/>
    <x v="2"/>
    <x v="1"/>
    <x v="2"/>
    <n v="1"/>
    <n v="169.9"/>
    <n v="55"/>
    <x v="2"/>
    <n v="55"/>
    <n v="114.9"/>
    <x v="1"/>
    <x v="1"/>
  </r>
  <r>
    <s v="ZOV-1321"/>
    <x v="320"/>
    <s v="CUST-143"/>
    <x v="1"/>
    <x v="1"/>
    <x v="1"/>
    <n v="1"/>
    <n v="139.9"/>
    <n v="45"/>
    <x v="3"/>
    <n v="45"/>
    <n v="94.9"/>
    <x v="1"/>
    <x v="0"/>
  </r>
  <r>
    <s v="ZOV-1322"/>
    <x v="321"/>
    <s v="CUST-322"/>
    <x v="2"/>
    <x v="1"/>
    <x v="2"/>
    <n v="2"/>
    <n v="169.9"/>
    <n v="55"/>
    <x v="26"/>
    <n v="110"/>
    <n v="229.8"/>
    <x v="1"/>
    <x v="1"/>
  </r>
  <r>
    <s v="ZOV-1323"/>
    <x v="322"/>
    <s v="CUST-227"/>
    <x v="8"/>
    <x v="2"/>
    <x v="9"/>
    <n v="1"/>
    <n v="259.89999999999998"/>
    <n v="82"/>
    <x v="10"/>
    <n v="82"/>
    <n v="177.9"/>
    <x v="1"/>
    <x v="1"/>
  </r>
  <r>
    <s v="ZOV-1324"/>
    <x v="323"/>
    <s v="CUST-218"/>
    <x v="4"/>
    <x v="0"/>
    <x v="0"/>
    <n v="2"/>
    <n v="129.9"/>
    <n v="40"/>
    <x v="0"/>
    <n v="80"/>
    <n v="179.8"/>
    <x v="0"/>
    <x v="1"/>
  </r>
  <r>
    <s v="ZOV-1325"/>
    <x v="324"/>
    <s v="CUST-165"/>
    <x v="0"/>
    <x v="1"/>
    <x v="3"/>
    <n v="1"/>
    <n v="139.9"/>
    <n v="45"/>
    <x v="3"/>
    <n v="45"/>
    <n v="94.9"/>
    <x v="2"/>
    <x v="1"/>
  </r>
  <r>
    <s v="ZOV-1326"/>
    <x v="325"/>
    <s v="CUST-273"/>
    <x v="4"/>
    <x v="1"/>
    <x v="1"/>
    <n v="1"/>
    <n v="139.9"/>
    <n v="45"/>
    <x v="3"/>
    <n v="45"/>
    <n v="94.9"/>
    <x v="1"/>
    <x v="1"/>
  </r>
  <r>
    <s v="ZOV-1327"/>
    <x v="326"/>
    <s v="CUST-341"/>
    <x v="7"/>
    <x v="1"/>
    <x v="4"/>
    <n v="2"/>
    <n v="159.9"/>
    <n v="52"/>
    <x v="17"/>
    <n v="104"/>
    <n v="215.8"/>
    <x v="0"/>
    <x v="1"/>
  </r>
  <r>
    <s v="ZOV-1328"/>
    <x v="327"/>
    <s v="CUST-263"/>
    <x v="1"/>
    <x v="1"/>
    <x v="2"/>
    <n v="1"/>
    <n v="169.9"/>
    <n v="55"/>
    <x v="2"/>
    <n v="55"/>
    <n v="114.9"/>
    <x v="2"/>
    <x v="2"/>
  </r>
  <r>
    <s v="ZOV-1329"/>
    <x v="328"/>
    <s v="CUST-216"/>
    <x v="2"/>
    <x v="3"/>
    <x v="7"/>
    <n v="1"/>
    <n v="219.9"/>
    <n v="70"/>
    <x v="7"/>
    <n v="70"/>
    <n v="149.9"/>
    <x v="0"/>
    <x v="0"/>
  </r>
  <r>
    <s v="ZOV-1330"/>
    <x v="329"/>
    <s v="CUST-318"/>
    <x v="7"/>
    <x v="1"/>
    <x v="2"/>
    <n v="2"/>
    <n v="169.9"/>
    <n v="55"/>
    <x v="26"/>
    <n v="110"/>
    <n v="229.8"/>
    <x v="0"/>
    <x v="1"/>
  </r>
  <r>
    <s v="ZOV-1331"/>
    <x v="330"/>
    <s v="CUST-197"/>
    <x v="1"/>
    <x v="1"/>
    <x v="4"/>
    <n v="1"/>
    <n v="159.9"/>
    <n v="52"/>
    <x v="4"/>
    <n v="52"/>
    <n v="107.9"/>
    <x v="1"/>
    <x v="0"/>
  </r>
  <r>
    <s v="ZOV-1332"/>
    <x v="331"/>
    <s v="CUST-279"/>
    <x v="6"/>
    <x v="2"/>
    <x v="5"/>
    <n v="1"/>
    <n v="319.89999999999998"/>
    <n v="105"/>
    <x v="5"/>
    <n v="105"/>
    <n v="214.9"/>
    <x v="1"/>
    <x v="1"/>
  </r>
  <r>
    <s v="ZOV-1333"/>
    <x v="332"/>
    <s v="CUST-201"/>
    <x v="2"/>
    <x v="2"/>
    <x v="5"/>
    <n v="3"/>
    <n v="319.89999999999998"/>
    <n v="105"/>
    <x v="38"/>
    <n v="315"/>
    <n v="644.70000000000005"/>
    <x v="1"/>
    <x v="3"/>
  </r>
  <r>
    <s v="ZOV-1334"/>
    <x v="333"/>
    <s v="CUST-321"/>
    <x v="8"/>
    <x v="1"/>
    <x v="3"/>
    <n v="3"/>
    <n v="139.9"/>
    <n v="45"/>
    <x v="11"/>
    <n v="135"/>
    <n v="284.7"/>
    <x v="1"/>
    <x v="1"/>
  </r>
  <r>
    <s v="ZOV-1335"/>
    <x v="334"/>
    <s v="CUST-313"/>
    <x v="0"/>
    <x v="3"/>
    <x v="7"/>
    <n v="2"/>
    <n v="219.9"/>
    <n v="70"/>
    <x v="22"/>
    <n v="140"/>
    <n v="299.8"/>
    <x v="0"/>
    <x v="1"/>
  </r>
  <r>
    <s v="ZOV-1336"/>
    <x v="335"/>
    <s v="CUST-255"/>
    <x v="1"/>
    <x v="1"/>
    <x v="4"/>
    <n v="1"/>
    <n v="159.9"/>
    <n v="52"/>
    <x v="4"/>
    <n v="52"/>
    <n v="107.9"/>
    <x v="1"/>
    <x v="1"/>
  </r>
  <r>
    <s v="ZOV-1337"/>
    <x v="336"/>
    <s v="CUST-148"/>
    <x v="1"/>
    <x v="0"/>
    <x v="0"/>
    <n v="1"/>
    <n v="129.9"/>
    <n v="40"/>
    <x v="21"/>
    <n v="40"/>
    <n v="89.9"/>
    <x v="0"/>
    <x v="0"/>
  </r>
  <r>
    <s v="ZOV-1338"/>
    <x v="337"/>
    <s v="CUST-274"/>
    <x v="8"/>
    <x v="0"/>
    <x v="11"/>
    <n v="1"/>
    <n v="89.9"/>
    <n v="25"/>
    <x v="19"/>
    <n v="25"/>
    <n v="64.900000000000006"/>
    <x v="0"/>
    <x v="1"/>
  </r>
  <r>
    <s v="ZOV-1339"/>
    <x v="338"/>
    <s v="CUST-331"/>
    <x v="1"/>
    <x v="2"/>
    <x v="9"/>
    <n v="1"/>
    <n v="259.89999999999998"/>
    <n v="82"/>
    <x v="10"/>
    <n v="82"/>
    <n v="177.9"/>
    <x v="1"/>
    <x v="1"/>
  </r>
  <r>
    <s v="ZOV-1340"/>
    <x v="339"/>
    <s v="CUST-179"/>
    <x v="1"/>
    <x v="1"/>
    <x v="2"/>
    <n v="1"/>
    <n v="169.9"/>
    <n v="55"/>
    <x v="2"/>
    <n v="55"/>
    <n v="114.9"/>
    <x v="2"/>
    <x v="1"/>
  </r>
  <r>
    <s v="ZOV-1341"/>
    <x v="340"/>
    <s v="CUST-193"/>
    <x v="5"/>
    <x v="1"/>
    <x v="1"/>
    <n v="1"/>
    <n v="139.9"/>
    <n v="45"/>
    <x v="3"/>
    <n v="45"/>
    <n v="94.9"/>
    <x v="0"/>
    <x v="1"/>
  </r>
  <r>
    <s v="ZOV-1342"/>
    <x v="341"/>
    <s v="CUST-183"/>
    <x v="1"/>
    <x v="2"/>
    <x v="9"/>
    <n v="1"/>
    <n v="259.89999999999998"/>
    <n v="82"/>
    <x v="10"/>
    <n v="82"/>
    <n v="177.9"/>
    <x v="0"/>
    <x v="1"/>
  </r>
  <r>
    <s v="ZOV-1343"/>
    <x v="342"/>
    <s v="CUST-151"/>
    <x v="1"/>
    <x v="1"/>
    <x v="1"/>
    <n v="2"/>
    <n v="139.9"/>
    <n v="45"/>
    <x v="1"/>
    <n v="90"/>
    <n v="189.8"/>
    <x v="1"/>
    <x v="0"/>
  </r>
  <r>
    <s v="ZOV-1344"/>
    <x v="343"/>
    <s v="CUST-324"/>
    <x v="9"/>
    <x v="1"/>
    <x v="4"/>
    <n v="2"/>
    <n v="159.9"/>
    <n v="52"/>
    <x v="17"/>
    <n v="104"/>
    <n v="215.8"/>
    <x v="2"/>
    <x v="1"/>
  </r>
  <r>
    <s v="ZOV-1345"/>
    <x v="344"/>
    <s v="CUST-333"/>
    <x v="1"/>
    <x v="1"/>
    <x v="4"/>
    <n v="1"/>
    <n v="159.9"/>
    <n v="52"/>
    <x v="4"/>
    <n v="52"/>
    <n v="107.9"/>
    <x v="1"/>
    <x v="1"/>
  </r>
  <r>
    <s v="ZOV-1346"/>
    <x v="345"/>
    <s v="CUST-333"/>
    <x v="1"/>
    <x v="2"/>
    <x v="5"/>
    <n v="4"/>
    <n v="319.89999999999998"/>
    <n v="105"/>
    <x v="39"/>
    <n v="420"/>
    <n v="859.6"/>
    <x v="0"/>
    <x v="1"/>
  </r>
  <r>
    <s v="ZOV-1347"/>
    <x v="346"/>
    <s v="CUST-305"/>
    <x v="1"/>
    <x v="2"/>
    <x v="8"/>
    <n v="1"/>
    <n v="289.89999999999998"/>
    <n v="95"/>
    <x v="8"/>
    <n v="95"/>
    <n v="194.9"/>
    <x v="1"/>
    <x v="0"/>
  </r>
  <r>
    <s v="ZOV-1348"/>
    <x v="347"/>
    <s v="CUST-136"/>
    <x v="8"/>
    <x v="1"/>
    <x v="1"/>
    <n v="1"/>
    <n v="139.9"/>
    <n v="45"/>
    <x v="3"/>
    <n v="45"/>
    <n v="94.9"/>
    <x v="1"/>
    <x v="1"/>
  </r>
  <r>
    <s v="ZOV-1349"/>
    <x v="348"/>
    <s v="CUST-347"/>
    <x v="3"/>
    <x v="3"/>
    <x v="10"/>
    <n v="2"/>
    <n v="279.89999999999998"/>
    <n v="90"/>
    <x v="16"/>
    <n v="180"/>
    <n v="379.8"/>
    <x v="1"/>
    <x v="1"/>
  </r>
  <r>
    <s v="ZOV-1350"/>
    <x v="349"/>
    <s v="CUST-302"/>
    <x v="0"/>
    <x v="1"/>
    <x v="2"/>
    <n v="1"/>
    <n v="169.9"/>
    <n v="55"/>
    <x v="2"/>
    <n v="55"/>
    <n v="114.9"/>
    <x v="0"/>
    <x v="0"/>
  </r>
  <r>
    <s v="ZOV-1351"/>
    <x v="350"/>
    <s v="CUST-237"/>
    <x v="2"/>
    <x v="1"/>
    <x v="3"/>
    <n v="1"/>
    <n v="139.9"/>
    <n v="45"/>
    <x v="3"/>
    <n v="45"/>
    <n v="94.9"/>
    <x v="1"/>
    <x v="3"/>
  </r>
  <r>
    <s v="ZOV-1352"/>
    <x v="351"/>
    <s v="CUST-272"/>
    <x v="3"/>
    <x v="0"/>
    <x v="0"/>
    <n v="1"/>
    <n v="129.9"/>
    <n v="40"/>
    <x v="21"/>
    <n v="40"/>
    <n v="89.9"/>
    <x v="1"/>
    <x v="1"/>
  </r>
  <r>
    <s v="ZOV-1353"/>
    <x v="352"/>
    <s v="CUST-249"/>
    <x v="0"/>
    <x v="3"/>
    <x v="7"/>
    <n v="1"/>
    <n v="219.9"/>
    <n v="70"/>
    <x v="7"/>
    <n v="70"/>
    <n v="149.9"/>
    <x v="1"/>
    <x v="0"/>
  </r>
  <r>
    <s v="ZOV-1354"/>
    <x v="353"/>
    <s v="CUST-127"/>
    <x v="1"/>
    <x v="3"/>
    <x v="10"/>
    <n v="1"/>
    <n v="279.89999999999998"/>
    <n v="90"/>
    <x v="12"/>
    <n v="90"/>
    <n v="189.9"/>
    <x v="1"/>
    <x v="1"/>
  </r>
  <r>
    <s v="ZOV-1355"/>
    <x v="354"/>
    <s v="CUST-106"/>
    <x v="0"/>
    <x v="3"/>
    <x v="10"/>
    <n v="2"/>
    <n v="279.89999999999998"/>
    <n v="90"/>
    <x v="16"/>
    <n v="180"/>
    <n v="379.8"/>
    <x v="2"/>
    <x v="2"/>
  </r>
  <r>
    <s v="ZOV-1356"/>
    <x v="355"/>
    <s v="CUST-334"/>
    <x v="1"/>
    <x v="2"/>
    <x v="9"/>
    <n v="1"/>
    <n v="259.89999999999998"/>
    <n v="82"/>
    <x v="10"/>
    <n v="82"/>
    <n v="177.9"/>
    <x v="1"/>
    <x v="1"/>
  </r>
  <r>
    <s v="ZOV-1357"/>
    <x v="356"/>
    <s v="CUST-116"/>
    <x v="1"/>
    <x v="0"/>
    <x v="0"/>
    <n v="1"/>
    <n v="129.9"/>
    <n v="40"/>
    <x v="21"/>
    <n v="40"/>
    <n v="89.9"/>
    <x v="0"/>
    <x v="1"/>
  </r>
  <r>
    <s v="ZOV-1358"/>
    <x v="357"/>
    <s v="CUST-266"/>
    <x v="6"/>
    <x v="2"/>
    <x v="5"/>
    <n v="1"/>
    <n v="319.89999999999998"/>
    <n v="105"/>
    <x v="5"/>
    <n v="105"/>
    <n v="214.9"/>
    <x v="1"/>
    <x v="1"/>
  </r>
  <r>
    <s v="ZOV-1359"/>
    <x v="358"/>
    <s v="CUST-111"/>
    <x v="1"/>
    <x v="3"/>
    <x v="6"/>
    <n v="1"/>
    <n v="249.9"/>
    <n v="80"/>
    <x v="24"/>
    <n v="80"/>
    <n v="169.9"/>
    <x v="0"/>
    <x v="0"/>
  </r>
  <r>
    <s v="ZOV-1360"/>
    <x v="359"/>
    <s v="CUST-129"/>
    <x v="1"/>
    <x v="3"/>
    <x v="6"/>
    <n v="1"/>
    <n v="249.9"/>
    <n v="80"/>
    <x v="24"/>
    <n v="80"/>
    <n v="169.9"/>
    <x v="1"/>
    <x v="0"/>
  </r>
  <r>
    <s v="ZOV-1361"/>
    <x v="360"/>
    <s v="CUST-134"/>
    <x v="5"/>
    <x v="3"/>
    <x v="7"/>
    <n v="1"/>
    <n v="219.9"/>
    <n v="70"/>
    <x v="7"/>
    <n v="70"/>
    <n v="149.9"/>
    <x v="1"/>
    <x v="1"/>
  </r>
  <r>
    <s v="ZOV-1362"/>
    <x v="361"/>
    <s v="CUST-271"/>
    <x v="3"/>
    <x v="2"/>
    <x v="9"/>
    <n v="1"/>
    <n v="259.89999999999998"/>
    <n v="82"/>
    <x v="10"/>
    <n v="82"/>
    <n v="177.9"/>
    <x v="1"/>
    <x v="0"/>
  </r>
  <r>
    <s v="ZOV-1363"/>
    <x v="362"/>
    <s v="CUST-207"/>
    <x v="4"/>
    <x v="3"/>
    <x v="10"/>
    <n v="1"/>
    <n v="279.89999999999998"/>
    <n v="90"/>
    <x v="12"/>
    <n v="90"/>
    <n v="189.9"/>
    <x v="1"/>
    <x v="0"/>
  </r>
  <r>
    <s v="ZOV-1364"/>
    <x v="363"/>
    <s v="CUST-326"/>
    <x v="5"/>
    <x v="1"/>
    <x v="2"/>
    <n v="2"/>
    <n v="169.9"/>
    <n v="55"/>
    <x v="26"/>
    <n v="110"/>
    <n v="229.8"/>
    <x v="0"/>
    <x v="1"/>
  </r>
  <r>
    <s v="ZOV-1365"/>
    <x v="364"/>
    <s v="CUST-313"/>
    <x v="1"/>
    <x v="1"/>
    <x v="2"/>
    <n v="1"/>
    <n v="169.9"/>
    <n v="55"/>
    <x v="2"/>
    <n v="55"/>
    <n v="114.9"/>
    <x v="0"/>
    <x v="1"/>
  </r>
  <r>
    <s v="ZOV-1366"/>
    <x v="365"/>
    <s v="CUST-340"/>
    <x v="2"/>
    <x v="1"/>
    <x v="4"/>
    <n v="3"/>
    <n v="159.9"/>
    <n v="52"/>
    <x v="28"/>
    <n v="156"/>
    <n v="323.7"/>
    <x v="0"/>
    <x v="1"/>
  </r>
  <r>
    <s v="ZOV-1367"/>
    <x v="366"/>
    <s v="CUST-155"/>
    <x v="9"/>
    <x v="2"/>
    <x v="5"/>
    <n v="1"/>
    <n v="319.89999999999998"/>
    <n v="105"/>
    <x v="5"/>
    <n v="105"/>
    <n v="214.9"/>
    <x v="0"/>
    <x v="1"/>
  </r>
  <r>
    <s v="ZOV-1368"/>
    <x v="367"/>
    <s v="CUST-318"/>
    <x v="4"/>
    <x v="1"/>
    <x v="4"/>
    <n v="1"/>
    <n v="159.9"/>
    <n v="52"/>
    <x v="4"/>
    <n v="52"/>
    <n v="107.9"/>
    <x v="2"/>
    <x v="1"/>
  </r>
  <r>
    <s v="ZOV-1369"/>
    <x v="368"/>
    <s v="CUST-239"/>
    <x v="0"/>
    <x v="1"/>
    <x v="4"/>
    <n v="1"/>
    <n v="159.9"/>
    <n v="52"/>
    <x v="4"/>
    <n v="52"/>
    <n v="107.9"/>
    <x v="0"/>
    <x v="3"/>
  </r>
  <r>
    <s v="ZOV-1370"/>
    <x v="369"/>
    <s v="CUST-170"/>
    <x v="1"/>
    <x v="1"/>
    <x v="1"/>
    <n v="1"/>
    <n v="139.9"/>
    <n v="45"/>
    <x v="3"/>
    <n v="45"/>
    <n v="94.9"/>
    <x v="2"/>
    <x v="3"/>
  </r>
  <r>
    <s v="ZOV-1371"/>
    <x v="370"/>
    <s v="CUST-123"/>
    <x v="1"/>
    <x v="3"/>
    <x v="10"/>
    <n v="2"/>
    <n v="279.89999999999998"/>
    <n v="90"/>
    <x v="16"/>
    <n v="180"/>
    <n v="379.8"/>
    <x v="0"/>
    <x v="1"/>
  </r>
  <r>
    <s v="ZOV-1372"/>
    <x v="371"/>
    <s v="CUST-263"/>
    <x v="1"/>
    <x v="3"/>
    <x v="10"/>
    <n v="1"/>
    <n v="279.89999999999998"/>
    <n v="90"/>
    <x v="12"/>
    <n v="90"/>
    <n v="189.9"/>
    <x v="0"/>
    <x v="1"/>
  </r>
  <r>
    <s v="ZOV-1373"/>
    <x v="372"/>
    <s v="CUST-301"/>
    <x v="3"/>
    <x v="2"/>
    <x v="5"/>
    <n v="1"/>
    <n v="319.89999999999998"/>
    <n v="105"/>
    <x v="5"/>
    <n v="105"/>
    <n v="214.9"/>
    <x v="0"/>
    <x v="3"/>
  </r>
  <r>
    <s v="ZOV-1374"/>
    <x v="373"/>
    <s v="CUST-301"/>
    <x v="6"/>
    <x v="1"/>
    <x v="1"/>
    <n v="1"/>
    <n v="139.9"/>
    <n v="45"/>
    <x v="3"/>
    <n v="45"/>
    <n v="94.9"/>
    <x v="1"/>
    <x v="1"/>
  </r>
  <r>
    <s v="ZOV-1375"/>
    <x v="374"/>
    <s v="CUST-153"/>
    <x v="3"/>
    <x v="1"/>
    <x v="1"/>
    <n v="1"/>
    <n v="139.9"/>
    <n v="45"/>
    <x v="3"/>
    <n v="45"/>
    <n v="94.9"/>
    <x v="0"/>
    <x v="1"/>
  </r>
  <r>
    <s v="ZOV-1376"/>
    <x v="375"/>
    <s v="CUST-298"/>
    <x v="2"/>
    <x v="2"/>
    <x v="8"/>
    <n v="1"/>
    <n v="289.89999999999998"/>
    <n v="95"/>
    <x v="8"/>
    <n v="95"/>
    <n v="194.9"/>
    <x v="1"/>
    <x v="1"/>
  </r>
  <r>
    <s v="ZOV-1377"/>
    <x v="376"/>
    <s v="CUST-100"/>
    <x v="4"/>
    <x v="3"/>
    <x v="7"/>
    <n v="1"/>
    <n v="219.9"/>
    <n v="70"/>
    <x v="7"/>
    <n v="70"/>
    <n v="149.9"/>
    <x v="0"/>
    <x v="0"/>
  </r>
  <r>
    <s v="ZOV-1378"/>
    <x v="377"/>
    <s v="CUST-238"/>
    <x v="0"/>
    <x v="1"/>
    <x v="4"/>
    <n v="1"/>
    <n v="159.9"/>
    <n v="52"/>
    <x v="4"/>
    <n v="52"/>
    <n v="107.9"/>
    <x v="0"/>
    <x v="3"/>
  </r>
  <r>
    <s v="ZOV-1379"/>
    <x v="378"/>
    <s v="CUST-269"/>
    <x v="1"/>
    <x v="1"/>
    <x v="3"/>
    <n v="2"/>
    <n v="139.9"/>
    <n v="45"/>
    <x v="1"/>
    <n v="90"/>
    <n v="189.8"/>
    <x v="1"/>
    <x v="1"/>
  </r>
  <r>
    <s v="ZOV-1380"/>
    <x v="379"/>
    <s v="CUST-191"/>
    <x v="7"/>
    <x v="2"/>
    <x v="8"/>
    <n v="1"/>
    <n v="289.89999999999998"/>
    <n v="95"/>
    <x v="8"/>
    <n v="95"/>
    <n v="194.9"/>
    <x v="1"/>
    <x v="1"/>
  </r>
  <r>
    <s v="ZOV-1381"/>
    <x v="380"/>
    <s v="CUST-104"/>
    <x v="2"/>
    <x v="1"/>
    <x v="1"/>
    <n v="2"/>
    <n v="139.9"/>
    <n v="45"/>
    <x v="1"/>
    <n v="90"/>
    <n v="189.8"/>
    <x v="1"/>
    <x v="1"/>
  </r>
  <r>
    <s v="ZOV-1382"/>
    <x v="381"/>
    <s v="CUST-132"/>
    <x v="1"/>
    <x v="0"/>
    <x v="0"/>
    <n v="1"/>
    <n v="129.9"/>
    <n v="40"/>
    <x v="21"/>
    <n v="40"/>
    <n v="89.9"/>
    <x v="1"/>
    <x v="0"/>
  </r>
  <r>
    <s v="ZOV-1383"/>
    <x v="382"/>
    <s v="CUST-129"/>
    <x v="1"/>
    <x v="3"/>
    <x v="10"/>
    <n v="4"/>
    <n v="279.89999999999998"/>
    <n v="90"/>
    <x v="40"/>
    <n v="360"/>
    <n v="759.6"/>
    <x v="1"/>
    <x v="1"/>
  </r>
  <r>
    <s v="ZOV-1384"/>
    <x v="383"/>
    <s v="CUST-214"/>
    <x v="7"/>
    <x v="3"/>
    <x v="7"/>
    <n v="1"/>
    <n v="219.9"/>
    <n v="70"/>
    <x v="7"/>
    <n v="70"/>
    <n v="149.9"/>
    <x v="1"/>
    <x v="1"/>
  </r>
  <r>
    <s v="ZOV-1385"/>
    <x v="384"/>
    <s v="CUST-127"/>
    <x v="4"/>
    <x v="1"/>
    <x v="2"/>
    <n v="1"/>
    <n v="169.9"/>
    <n v="55"/>
    <x v="2"/>
    <n v="55"/>
    <n v="114.9"/>
    <x v="1"/>
    <x v="1"/>
  </r>
  <r>
    <s v="ZOV-1386"/>
    <x v="385"/>
    <s v="CUST-342"/>
    <x v="1"/>
    <x v="2"/>
    <x v="9"/>
    <n v="1"/>
    <n v="259.89999999999998"/>
    <n v="82"/>
    <x v="10"/>
    <n v="82"/>
    <n v="177.9"/>
    <x v="0"/>
    <x v="0"/>
  </r>
  <r>
    <s v="ZOV-1387"/>
    <x v="386"/>
    <s v="CUST-233"/>
    <x v="2"/>
    <x v="2"/>
    <x v="5"/>
    <n v="1"/>
    <n v="319.89999999999998"/>
    <n v="105"/>
    <x v="5"/>
    <n v="105"/>
    <n v="214.9"/>
    <x v="0"/>
    <x v="1"/>
  </r>
  <r>
    <s v="ZOV-1388"/>
    <x v="387"/>
    <s v="CUST-346"/>
    <x v="3"/>
    <x v="1"/>
    <x v="3"/>
    <n v="2"/>
    <n v="139.9"/>
    <n v="45"/>
    <x v="1"/>
    <n v="90"/>
    <n v="189.8"/>
    <x v="1"/>
    <x v="0"/>
  </r>
  <r>
    <s v="ZOV-1389"/>
    <x v="388"/>
    <s v="CUST-316"/>
    <x v="1"/>
    <x v="1"/>
    <x v="2"/>
    <n v="2"/>
    <n v="169.9"/>
    <n v="55"/>
    <x v="26"/>
    <n v="110"/>
    <n v="229.8"/>
    <x v="0"/>
    <x v="1"/>
  </r>
  <r>
    <s v="ZOV-1390"/>
    <x v="389"/>
    <s v="CUST-225"/>
    <x v="2"/>
    <x v="1"/>
    <x v="2"/>
    <n v="1"/>
    <n v="169.9"/>
    <n v="55"/>
    <x v="2"/>
    <n v="55"/>
    <n v="114.9"/>
    <x v="1"/>
    <x v="1"/>
  </r>
  <r>
    <s v="ZOV-1391"/>
    <x v="390"/>
    <s v="CUST-182"/>
    <x v="1"/>
    <x v="1"/>
    <x v="1"/>
    <n v="1"/>
    <n v="139.9"/>
    <n v="45"/>
    <x v="3"/>
    <n v="45"/>
    <n v="94.9"/>
    <x v="0"/>
    <x v="3"/>
  </r>
  <r>
    <s v="ZOV-1392"/>
    <x v="391"/>
    <s v="CUST-170"/>
    <x v="6"/>
    <x v="2"/>
    <x v="9"/>
    <n v="1"/>
    <n v="259.89999999999998"/>
    <n v="82"/>
    <x v="10"/>
    <n v="82"/>
    <n v="177.9"/>
    <x v="0"/>
    <x v="1"/>
  </r>
  <r>
    <s v="ZOV-1393"/>
    <x v="392"/>
    <s v="CUST-240"/>
    <x v="1"/>
    <x v="1"/>
    <x v="4"/>
    <n v="2"/>
    <n v="159.9"/>
    <n v="52"/>
    <x v="17"/>
    <n v="104"/>
    <n v="215.8"/>
    <x v="1"/>
    <x v="1"/>
  </r>
  <r>
    <s v="ZOV-1394"/>
    <x v="393"/>
    <s v="CUST-235"/>
    <x v="2"/>
    <x v="1"/>
    <x v="4"/>
    <n v="1"/>
    <n v="159.9"/>
    <n v="52"/>
    <x v="4"/>
    <n v="52"/>
    <n v="107.9"/>
    <x v="1"/>
    <x v="0"/>
  </r>
  <r>
    <s v="ZOV-1395"/>
    <x v="394"/>
    <s v="CUST-254"/>
    <x v="1"/>
    <x v="3"/>
    <x v="7"/>
    <n v="1"/>
    <n v="219.9"/>
    <n v="70"/>
    <x v="7"/>
    <n v="70"/>
    <n v="149.9"/>
    <x v="0"/>
    <x v="1"/>
  </r>
  <r>
    <s v="ZOV-1396"/>
    <x v="395"/>
    <s v="CUST-318"/>
    <x v="5"/>
    <x v="1"/>
    <x v="1"/>
    <n v="1"/>
    <n v="139.9"/>
    <n v="45"/>
    <x v="3"/>
    <n v="45"/>
    <n v="94.9"/>
    <x v="0"/>
    <x v="1"/>
  </r>
  <r>
    <s v="ZOV-1397"/>
    <x v="396"/>
    <s v="CUST-327"/>
    <x v="1"/>
    <x v="3"/>
    <x v="6"/>
    <n v="1"/>
    <n v="249.9"/>
    <n v="80"/>
    <x v="24"/>
    <n v="80"/>
    <n v="169.9"/>
    <x v="1"/>
    <x v="0"/>
  </r>
  <r>
    <s v="ZOV-1398"/>
    <x v="397"/>
    <s v="CUST-311"/>
    <x v="1"/>
    <x v="3"/>
    <x v="7"/>
    <n v="1"/>
    <n v="219.9"/>
    <n v="70"/>
    <x v="7"/>
    <n v="70"/>
    <n v="149.9"/>
    <x v="1"/>
    <x v="1"/>
  </r>
  <r>
    <s v="ZOV-1399"/>
    <x v="398"/>
    <s v="CUST-286"/>
    <x v="7"/>
    <x v="1"/>
    <x v="3"/>
    <n v="1"/>
    <n v="139.9"/>
    <n v="45"/>
    <x v="3"/>
    <n v="45"/>
    <n v="94.9"/>
    <x v="1"/>
    <x v="1"/>
  </r>
  <r>
    <s v="ZOV-1400"/>
    <x v="399"/>
    <s v="CUST-180"/>
    <x v="4"/>
    <x v="0"/>
    <x v="0"/>
    <n v="1"/>
    <n v="129.9"/>
    <n v="40"/>
    <x v="21"/>
    <n v="40"/>
    <n v="89.9"/>
    <x v="1"/>
    <x v="0"/>
  </r>
  <r>
    <s v="ZOV-1401"/>
    <x v="400"/>
    <s v="CUST-344"/>
    <x v="1"/>
    <x v="1"/>
    <x v="1"/>
    <n v="3"/>
    <n v="139.9"/>
    <n v="45"/>
    <x v="11"/>
    <n v="135"/>
    <n v="284.7"/>
    <x v="1"/>
    <x v="0"/>
  </r>
  <r>
    <s v="ZOV-1402"/>
    <x v="401"/>
    <s v="CUST-117"/>
    <x v="7"/>
    <x v="1"/>
    <x v="3"/>
    <n v="2"/>
    <n v="139.9"/>
    <n v="45"/>
    <x v="1"/>
    <n v="90"/>
    <n v="189.8"/>
    <x v="1"/>
    <x v="1"/>
  </r>
  <r>
    <s v="ZOV-1403"/>
    <x v="402"/>
    <s v="CUST-210"/>
    <x v="1"/>
    <x v="1"/>
    <x v="3"/>
    <n v="3"/>
    <n v="139.9"/>
    <n v="45"/>
    <x v="11"/>
    <n v="135"/>
    <n v="284.7"/>
    <x v="1"/>
    <x v="1"/>
  </r>
  <r>
    <s v="ZOV-1404"/>
    <x v="403"/>
    <s v="CUST-307"/>
    <x v="0"/>
    <x v="1"/>
    <x v="1"/>
    <n v="2"/>
    <n v="139.9"/>
    <n v="45"/>
    <x v="1"/>
    <n v="90"/>
    <n v="189.8"/>
    <x v="1"/>
    <x v="1"/>
  </r>
  <r>
    <s v="ZOV-1405"/>
    <x v="404"/>
    <s v="CUST-250"/>
    <x v="5"/>
    <x v="2"/>
    <x v="9"/>
    <n v="3"/>
    <n v="259.89999999999998"/>
    <n v="82"/>
    <x v="34"/>
    <n v="246"/>
    <n v="533.70000000000005"/>
    <x v="1"/>
    <x v="1"/>
  </r>
  <r>
    <s v="ZOV-1406"/>
    <x v="405"/>
    <s v="CUST-271"/>
    <x v="1"/>
    <x v="3"/>
    <x v="6"/>
    <n v="4"/>
    <n v="249.9"/>
    <n v="80"/>
    <x v="33"/>
    <n v="320"/>
    <n v="679.6"/>
    <x v="1"/>
    <x v="1"/>
  </r>
  <r>
    <s v="ZOV-1407"/>
    <x v="406"/>
    <s v="CUST-323"/>
    <x v="1"/>
    <x v="2"/>
    <x v="9"/>
    <n v="1"/>
    <n v="259.89999999999998"/>
    <n v="82"/>
    <x v="10"/>
    <n v="82"/>
    <n v="177.9"/>
    <x v="2"/>
    <x v="3"/>
  </r>
  <r>
    <s v="ZOV-1408"/>
    <x v="407"/>
    <s v="CUST-322"/>
    <x v="1"/>
    <x v="1"/>
    <x v="3"/>
    <n v="1"/>
    <n v="139.9"/>
    <n v="45"/>
    <x v="3"/>
    <n v="45"/>
    <n v="94.9"/>
    <x v="1"/>
    <x v="0"/>
  </r>
  <r>
    <s v="ZOV-1409"/>
    <x v="408"/>
    <s v="CUST-179"/>
    <x v="8"/>
    <x v="2"/>
    <x v="5"/>
    <n v="1"/>
    <n v="319.89999999999998"/>
    <n v="105"/>
    <x v="5"/>
    <n v="105"/>
    <n v="214.9"/>
    <x v="1"/>
    <x v="1"/>
  </r>
  <r>
    <s v="ZOV-1410"/>
    <x v="409"/>
    <s v="CUST-229"/>
    <x v="7"/>
    <x v="1"/>
    <x v="1"/>
    <n v="2"/>
    <n v="139.9"/>
    <n v="45"/>
    <x v="1"/>
    <n v="90"/>
    <n v="189.8"/>
    <x v="0"/>
    <x v="0"/>
  </r>
  <r>
    <s v="ZOV-1411"/>
    <x v="410"/>
    <s v="CUST-223"/>
    <x v="0"/>
    <x v="2"/>
    <x v="8"/>
    <n v="1"/>
    <n v="289.89999999999998"/>
    <n v="95"/>
    <x v="8"/>
    <n v="95"/>
    <n v="194.9"/>
    <x v="2"/>
    <x v="2"/>
  </r>
  <r>
    <s v="ZOV-1412"/>
    <x v="411"/>
    <s v="CUST-316"/>
    <x v="4"/>
    <x v="2"/>
    <x v="9"/>
    <n v="1"/>
    <n v="259.89999999999998"/>
    <n v="82"/>
    <x v="10"/>
    <n v="82"/>
    <n v="177.9"/>
    <x v="0"/>
    <x v="1"/>
  </r>
  <r>
    <s v="ZOV-1413"/>
    <x v="412"/>
    <s v="CUST-295"/>
    <x v="1"/>
    <x v="2"/>
    <x v="5"/>
    <n v="2"/>
    <n v="319.89999999999998"/>
    <n v="105"/>
    <x v="30"/>
    <n v="210"/>
    <n v="429.8"/>
    <x v="1"/>
    <x v="0"/>
  </r>
  <r>
    <s v="ZOV-1414"/>
    <x v="413"/>
    <s v="CUST-306"/>
    <x v="3"/>
    <x v="1"/>
    <x v="2"/>
    <n v="1"/>
    <n v="169.9"/>
    <n v="55"/>
    <x v="2"/>
    <n v="55"/>
    <n v="114.9"/>
    <x v="1"/>
    <x v="1"/>
  </r>
  <r>
    <s v="ZOV-1415"/>
    <x v="414"/>
    <s v="CUST-257"/>
    <x v="7"/>
    <x v="2"/>
    <x v="9"/>
    <n v="1"/>
    <n v="259.89999999999998"/>
    <n v="82"/>
    <x v="10"/>
    <n v="82"/>
    <n v="177.9"/>
    <x v="0"/>
    <x v="1"/>
  </r>
  <r>
    <s v="ZOV-1416"/>
    <x v="415"/>
    <s v="CUST-106"/>
    <x v="8"/>
    <x v="1"/>
    <x v="4"/>
    <n v="1"/>
    <n v="159.9"/>
    <n v="52"/>
    <x v="4"/>
    <n v="52"/>
    <n v="107.9"/>
    <x v="2"/>
    <x v="2"/>
  </r>
  <r>
    <s v="ZOV-1417"/>
    <x v="416"/>
    <s v="CUST-169"/>
    <x v="1"/>
    <x v="1"/>
    <x v="4"/>
    <n v="1"/>
    <n v="159.9"/>
    <n v="52"/>
    <x v="4"/>
    <n v="52"/>
    <n v="107.9"/>
    <x v="2"/>
    <x v="1"/>
  </r>
  <r>
    <s v="ZOV-1418"/>
    <x v="417"/>
    <s v="CUST-101"/>
    <x v="0"/>
    <x v="1"/>
    <x v="1"/>
    <n v="2"/>
    <n v="139.9"/>
    <n v="45"/>
    <x v="1"/>
    <n v="90"/>
    <n v="189.8"/>
    <x v="0"/>
    <x v="1"/>
  </r>
  <r>
    <s v="ZOV-1419"/>
    <x v="418"/>
    <s v="CUST-268"/>
    <x v="3"/>
    <x v="0"/>
    <x v="12"/>
    <n v="1"/>
    <n v="79.900000000000006"/>
    <n v="22"/>
    <x v="27"/>
    <n v="22"/>
    <n v="57.9"/>
    <x v="0"/>
    <x v="1"/>
  </r>
  <r>
    <s v="ZOV-1420"/>
    <x v="419"/>
    <s v="CUST-289"/>
    <x v="3"/>
    <x v="2"/>
    <x v="9"/>
    <n v="1"/>
    <n v="259.89999999999998"/>
    <n v="82"/>
    <x v="10"/>
    <n v="82"/>
    <n v="177.9"/>
    <x v="0"/>
    <x v="1"/>
  </r>
  <r>
    <s v="ZOV-1421"/>
    <x v="420"/>
    <s v="CUST-291"/>
    <x v="6"/>
    <x v="2"/>
    <x v="9"/>
    <n v="1"/>
    <n v="259.89999999999998"/>
    <n v="82"/>
    <x v="10"/>
    <n v="82"/>
    <n v="177.9"/>
    <x v="0"/>
    <x v="1"/>
  </r>
  <r>
    <s v="ZOV-1422"/>
    <x v="421"/>
    <s v="CUST-207"/>
    <x v="1"/>
    <x v="3"/>
    <x v="7"/>
    <n v="3"/>
    <n v="219.9"/>
    <n v="70"/>
    <x v="31"/>
    <n v="210"/>
    <n v="449.7"/>
    <x v="1"/>
    <x v="3"/>
  </r>
  <r>
    <s v="ZOV-1423"/>
    <x v="422"/>
    <s v="CUST-194"/>
    <x v="1"/>
    <x v="1"/>
    <x v="4"/>
    <n v="1"/>
    <n v="159.9"/>
    <n v="52"/>
    <x v="4"/>
    <n v="52"/>
    <n v="107.9"/>
    <x v="2"/>
    <x v="3"/>
  </r>
  <r>
    <s v="ZOV-1424"/>
    <x v="423"/>
    <s v="CUST-298"/>
    <x v="1"/>
    <x v="1"/>
    <x v="3"/>
    <n v="1"/>
    <n v="139.9"/>
    <n v="45"/>
    <x v="3"/>
    <n v="45"/>
    <n v="94.9"/>
    <x v="1"/>
    <x v="1"/>
  </r>
  <r>
    <s v="ZOV-1425"/>
    <x v="424"/>
    <s v="CUST-140"/>
    <x v="3"/>
    <x v="2"/>
    <x v="9"/>
    <n v="3"/>
    <n v="259.89999999999998"/>
    <n v="82"/>
    <x v="34"/>
    <n v="246"/>
    <n v="533.70000000000005"/>
    <x v="1"/>
    <x v="3"/>
  </r>
  <r>
    <s v="ZOV-1426"/>
    <x v="425"/>
    <s v="CUST-169"/>
    <x v="4"/>
    <x v="2"/>
    <x v="5"/>
    <n v="1"/>
    <n v="319.89999999999998"/>
    <n v="105"/>
    <x v="5"/>
    <n v="105"/>
    <n v="214.9"/>
    <x v="2"/>
    <x v="1"/>
  </r>
  <r>
    <s v="ZOV-1427"/>
    <x v="426"/>
    <s v="CUST-224"/>
    <x v="1"/>
    <x v="1"/>
    <x v="2"/>
    <n v="1"/>
    <n v="169.9"/>
    <n v="55"/>
    <x v="2"/>
    <n v="55"/>
    <n v="114.9"/>
    <x v="0"/>
    <x v="1"/>
  </r>
  <r>
    <s v="ZOV-1428"/>
    <x v="427"/>
    <s v="CUST-155"/>
    <x v="6"/>
    <x v="1"/>
    <x v="3"/>
    <n v="2"/>
    <n v="139.9"/>
    <n v="45"/>
    <x v="1"/>
    <n v="90"/>
    <n v="189.8"/>
    <x v="1"/>
    <x v="1"/>
  </r>
  <r>
    <s v="ZOV-1429"/>
    <x v="428"/>
    <s v="CUST-128"/>
    <x v="3"/>
    <x v="2"/>
    <x v="5"/>
    <n v="2"/>
    <n v="319.89999999999998"/>
    <n v="105"/>
    <x v="30"/>
    <n v="210"/>
    <n v="429.8"/>
    <x v="1"/>
    <x v="1"/>
  </r>
  <r>
    <s v="ZOV-1430"/>
    <x v="429"/>
    <s v="CUST-224"/>
    <x v="3"/>
    <x v="2"/>
    <x v="9"/>
    <n v="1"/>
    <n v="259.89999999999998"/>
    <n v="82"/>
    <x v="10"/>
    <n v="82"/>
    <n v="177.9"/>
    <x v="1"/>
    <x v="1"/>
  </r>
  <r>
    <s v="ZOV-1431"/>
    <x v="430"/>
    <s v="CUST-111"/>
    <x v="1"/>
    <x v="1"/>
    <x v="1"/>
    <n v="2"/>
    <n v="139.9"/>
    <n v="45"/>
    <x v="1"/>
    <n v="90"/>
    <n v="189.8"/>
    <x v="0"/>
    <x v="0"/>
  </r>
  <r>
    <s v="ZOV-1432"/>
    <x v="431"/>
    <s v="CUST-114"/>
    <x v="1"/>
    <x v="1"/>
    <x v="3"/>
    <n v="1"/>
    <n v="139.9"/>
    <n v="45"/>
    <x v="3"/>
    <n v="45"/>
    <n v="94.9"/>
    <x v="1"/>
    <x v="1"/>
  </r>
  <r>
    <s v="ZOV-1433"/>
    <x v="432"/>
    <s v="CUST-342"/>
    <x v="4"/>
    <x v="2"/>
    <x v="8"/>
    <n v="1"/>
    <n v="289.89999999999998"/>
    <n v="95"/>
    <x v="8"/>
    <n v="95"/>
    <n v="194.9"/>
    <x v="0"/>
    <x v="1"/>
  </r>
  <r>
    <s v="ZOV-1434"/>
    <x v="433"/>
    <s v="CUST-295"/>
    <x v="9"/>
    <x v="2"/>
    <x v="5"/>
    <n v="1"/>
    <n v="319.89999999999998"/>
    <n v="105"/>
    <x v="5"/>
    <n v="105"/>
    <n v="214.9"/>
    <x v="0"/>
    <x v="1"/>
  </r>
  <r>
    <s v="ZOV-1435"/>
    <x v="434"/>
    <s v="CUST-130"/>
    <x v="4"/>
    <x v="1"/>
    <x v="3"/>
    <n v="1"/>
    <n v="139.9"/>
    <n v="45"/>
    <x v="3"/>
    <n v="45"/>
    <n v="94.9"/>
    <x v="0"/>
    <x v="0"/>
  </r>
  <r>
    <s v="ZOV-1436"/>
    <x v="435"/>
    <s v="CUST-144"/>
    <x v="8"/>
    <x v="1"/>
    <x v="1"/>
    <n v="1"/>
    <n v="139.9"/>
    <n v="45"/>
    <x v="3"/>
    <n v="45"/>
    <n v="94.9"/>
    <x v="0"/>
    <x v="1"/>
  </r>
  <r>
    <s v="ZOV-1437"/>
    <x v="436"/>
    <s v="CUST-280"/>
    <x v="1"/>
    <x v="1"/>
    <x v="1"/>
    <n v="1"/>
    <n v="139.9"/>
    <n v="45"/>
    <x v="3"/>
    <n v="45"/>
    <n v="94.9"/>
    <x v="1"/>
    <x v="1"/>
  </r>
  <r>
    <s v="ZOV-1438"/>
    <x v="437"/>
    <s v="CUST-313"/>
    <x v="6"/>
    <x v="3"/>
    <x v="10"/>
    <n v="2"/>
    <n v="279.89999999999998"/>
    <n v="90"/>
    <x v="16"/>
    <n v="180"/>
    <n v="379.8"/>
    <x v="0"/>
    <x v="1"/>
  </r>
  <r>
    <s v="ZOV-1439"/>
    <x v="438"/>
    <s v="CUST-201"/>
    <x v="1"/>
    <x v="0"/>
    <x v="0"/>
    <n v="2"/>
    <n v="129.9"/>
    <n v="40"/>
    <x v="0"/>
    <n v="80"/>
    <n v="179.8"/>
    <x v="0"/>
    <x v="0"/>
  </r>
  <r>
    <s v="ZOV-1440"/>
    <x v="439"/>
    <s v="CUST-104"/>
    <x v="0"/>
    <x v="2"/>
    <x v="5"/>
    <n v="2"/>
    <n v="319.89999999999998"/>
    <n v="105"/>
    <x v="30"/>
    <n v="210"/>
    <n v="429.8"/>
    <x v="0"/>
    <x v="1"/>
  </r>
  <r>
    <s v="ZOV-1441"/>
    <x v="440"/>
    <s v="CUST-247"/>
    <x v="9"/>
    <x v="1"/>
    <x v="2"/>
    <n v="1"/>
    <n v="169.9"/>
    <n v="55"/>
    <x v="2"/>
    <n v="55"/>
    <n v="114.9"/>
    <x v="1"/>
    <x v="1"/>
  </r>
  <r>
    <s v="ZOV-1442"/>
    <x v="441"/>
    <s v="CUST-281"/>
    <x v="6"/>
    <x v="1"/>
    <x v="2"/>
    <n v="2"/>
    <n v="169.9"/>
    <n v="55"/>
    <x v="26"/>
    <n v="110"/>
    <n v="229.8"/>
    <x v="1"/>
    <x v="1"/>
  </r>
  <r>
    <s v="ZOV-1443"/>
    <x v="442"/>
    <s v="CUST-203"/>
    <x v="7"/>
    <x v="3"/>
    <x v="6"/>
    <n v="1"/>
    <n v="249.9"/>
    <n v="80"/>
    <x v="24"/>
    <n v="80"/>
    <n v="169.9"/>
    <x v="2"/>
    <x v="3"/>
  </r>
  <r>
    <s v="ZOV-1444"/>
    <x v="443"/>
    <s v="CUST-305"/>
    <x v="1"/>
    <x v="3"/>
    <x v="10"/>
    <n v="1"/>
    <n v="279.89999999999998"/>
    <n v="90"/>
    <x v="12"/>
    <n v="90"/>
    <n v="189.9"/>
    <x v="0"/>
    <x v="0"/>
  </r>
  <r>
    <s v="ZOV-1445"/>
    <x v="444"/>
    <s v="CUST-122"/>
    <x v="7"/>
    <x v="2"/>
    <x v="5"/>
    <n v="1"/>
    <n v="319.89999999999998"/>
    <n v="105"/>
    <x v="5"/>
    <n v="105"/>
    <n v="214.9"/>
    <x v="1"/>
    <x v="0"/>
  </r>
  <r>
    <s v="ZOV-1446"/>
    <x v="445"/>
    <s v="CUST-211"/>
    <x v="0"/>
    <x v="1"/>
    <x v="2"/>
    <n v="1"/>
    <n v="169.9"/>
    <n v="55"/>
    <x v="2"/>
    <n v="55"/>
    <n v="114.9"/>
    <x v="1"/>
    <x v="0"/>
  </r>
  <r>
    <s v="ZOV-1447"/>
    <x v="446"/>
    <s v="CUST-201"/>
    <x v="7"/>
    <x v="1"/>
    <x v="4"/>
    <n v="3"/>
    <n v="159.9"/>
    <n v="52"/>
    <x v="28"/>
    <n v="156"/>
    <n v="323.7"/>
    <x v="0"/>
    <x v="1"/>
  </r>
  <r>
    <s v="ZOV-1448"/>
    <x v="447"/>
    <s v="CUST-156"/>
    <x v="2"/>
    <x v="3"/>
    <x v="7"/>
    <n v="1"/>
    <n v="219.9"/>
    <n v="70"/>
    <x v="7"/>
    <n v="70"/>
    <n v="149.9"/>
    <x v="1"/>
    <x v="0"/>
  </r>
  <r>
    <s v="ZOV-1449"/>
    <x v="448"/>
    <s v="CUST-119"/>
    <x v="3"/>
    <x v="1"/>
    <x v="3"/>
    <n v="1"/>
    <n v="139.9"/>
    <n v="45"/>
    <x v="3"/>
    <n v="45"/>
    <n v="94.9"/>
    <x v="2"/>
    <x v="2"/>
  </r>
  <r>
    <s v="ZOV-1450"/>
    <x v="449"/>
    <s v="CUST-149"/>
    <x v="2"/>
    <x v="1"/>
    <x v="4"/>
    <n v="2"/>
    <n v="159.9"/>
    <n v="52"/>
    <x v="17"/>
    <n v="104"/>
    <n v="215.8"/>
    <x v="0"/>
    <x v="0"/>
  </r>
  <r>
    <s v="ZOV-1451"/>
    <x v="450"/>
    <s v="CUST-308"/>
    <x v="1"/>
    <x v="0"/>
    <x v="11"/>
    <n v="2"/>
    <n v="89.9"/>
    <n v="25"/>
    <x v="25"/>
    <n v="50"/>
    <n v="129.80000000000001"/>
    <x v="0"/>
    <x v="1"/>
  </r>
  <r>
    <s v="ZOV-1452"/>
    <x v="451"/>
    <s v="CUST-137"/>
    <x v="2"/>
    <x v="2"/>
    <x v="5"/>
    <n v="1"/>
    <n v="319.89999999999998"/>
    <n v="105"/>
    <x v="5"/>
    <n v="105"/>
    <n v="214.9"/>
    <x v="1"/>
    <x v="1"/>
  </r>
  <r>
    <s v="ZOV-1453"/>
    <x v="452"/>
    <s v="CUST-254"/>
    <x v="3"/>
    <x v="2"/>
    <x v="8"/>
    <n v="2"/>
    <n v="289.89999999999998"/>
    <n v="95"/>
    <x v="18"/>
    <n v="190"/>
    <n v="389.8"/>
    <x v="1"/>
    <x v="1"/>
  </r>
  <r>
    <s v="ZOV-1454"/>
    <x v="453"/>
    <s v="CUST-119"/>
    <x v="4"/>
    <x v="2"/>
    <x v="8"/>
    <n v="2"/>
    <n v="289.89999999999998"/>
    <n v="95"/>
    <x v="18"/>
    <n v="190"/>
    <n v="389.8"/>
    <x v="1"/>
    <x v="1"/>
  </r>
  <r>
    <s v="ZOV-1455"/>
    <x v="454"/>
    <s v="CUST-226"/>
    <x v="1"/>
    <x v="1"/>
    <x v="2"/>
    <n v="1"/>
    <n v="169.9"/>
    <n v="55"/>
    <x v="2"/>
    <n v="55"/>
    <n v="114.9"/>
    <x v="0"/>
    <x v="3"/>
  </r>
  <r>
    <s v="ZOV-1456"/>
    <x v="455"/>
    <s v="CUST-294"/>
    <x v="2"/>
    <x v="3"/>
    <x v="10"/>
    <n v="1"/>
    <n v="279.89999999999998"/>
    <n v="90"/>
    <x v="12"/>
    <n v="90"/>
    <n v="189.9"/>
    <x v="0"/>
    <x v="0"/>
  </r>
  <r>
    <s v="ZOV-1457"/>
    <x v="456"/>
    <s v="CUST-264"/>
    <x v="1"/>
    <x v="1"/>
    <x v="4"/>
    <n v="1"/>
    <n v="159.9"/>
    <n v="52"/>
    <x v="4"/>
    <n v="52"/>
    <n v="107.9"/>
    <x v="1"/>
    <x v="0"/>
  </r>
  <r>
    <s v="ZOV-1458"/>
    <x v="457"/>
    <s v="CUST-138"/>
    <x v="1"/>
    <x v="0"/>
    <x v="12"/>
    <n v="1"/>
    <n v="79.900000000000006"/>
    <n v="22"/>
    <x v="27"/>
    <n v="22"/>
    <n v="57.9"/>
    <x v="1"/>
    <x v="0"/>
  </r>
  <r>
    <s v="ZOV-1459"/>
    <x v="458"/>
    <s v="CUST-213"/>
    <x v="2"/>
    <x v="1"/>
    <x v="4"/>
    <n v="1"/>
    <n v="159.9"/>
    <n v="52"/>
    <x v="4"/>
    <n v="52"/>
    <n v="107.9"/>
    <x v="0"/>
    <x v="0"/>
  </r>
  <r>
    <s v="ZOV-1460"/>
    <x v="459"/>
    <s v="CUST-114"/>
    <x v="1"/>
    <x v="1"/>
    <x v="4"/>
    <n v="1"/>
    <n v="159.9"/>
    <n v="52"/>
    <x v="4"/>
    <n v="52"/>
    <n v="107.9"/>
    <x v="1"/>
    <x v="1"/>
  </r>
  <r>
    <s v="ZOV-1461"/>
    <x v="460"/>
    <s v="CUST-179"/>
    <x v="3"/>
    <x v="2"/>
    <x v="5"/>
    <n v="1"/>
    <n v="319.89999999999998"/>
    <n v="105"/>
    <x v="5"/>
    <n v="105"/>
    <n v="214.9"/>
    <x v="1"/>
    <x v="1"/>
  </r>
  <r>
    <s v="ZOV-1462"/>
    <x v="461"/>
    <s v="CUST-114"/>
    <x v="0"/>
    <x v="1"/>
    <x v="4"/>
    <n v="1"/>
    <n v="159.9"/>
    <n v="52"/>
    <x v="4"/>
    <n v="52"/>
    <n v="107.9"/>
    <x v="1"/>
    <x v="1"/>
  </r>
  <r>
    <s v="ZOV-1463"/>
    <x v="462"/>
    <s v="CUST-265"/>
    <x v="2"/>
    <x v="3"/>
    <x v="6"/>
    <n v="1"/>
    <n v="249.9"/>
    <n v="80"/>
    <x v="24"/>
    <n v="80"/>
    <n v="169.9"/>
    <x v="0"/>
    <x v="3"/>
  </r>
  <r>
    <s v="ZOV-1464"/>
    <x v="463"/>
    <s v="CUST-229"/>
    <x v="1"/>
    <x v="1"/>
    <x v="2"/>
    <n v="1"/>
    <n v="169.9"/>
    <n v="55"/>
    <x v="2"/>
    <n v="55"/>
    <n v="114.9"/>
    <x v="1"/>
    <x v="1"/>
  </r>
  <r>
    <s v="ZOV-1465"/>
    <x v="464"/>
    <s v="CUST-241"/>
    <x v="6"/>
    <x v="3"/>
    <x v="10"/>
    <n v="1"/>
    <n v="279.89999999999998"/>
    <n v="90"/>
    <x v="12"/>
    <n v="90"/>
    <n v="189.9"/>
    <x v="1"/>
    <x v="1"/>
  </r>
  <r>
    <s v="ZOV-1466"/>
    <x v="465"/>
    <s v="CUST-332"/>
    <x v="5"/>
    <x v="3"/>
    <x v="10"/>
    <n v="1"/>
    <n v="279.89999999999998"/>
    <n v="90"/>
    <x v="12"/>
    <n v="90"/>
    <n v="189.9"/>
    <x v="0"/>
    <x v="0"/>
  </r>
  <r>
    <s v="ZOV-1467"/>
    <x v="466"/>
    <s v="CUST-182"/>
    <x v="1"/>
    <x v="1"/>
    <x v="2"/>
    <n v="1"/>
    <n v="169.9"/>
    <n v="55"/>
    <x v="2"/>
    <n v="55"/>
    <n v="114.9"/>
    <x v="0"/>
    <x v="0"/>
  </r>
  <r>
    <s v="ZOV-1468"/>
    <x v="467"/>
    <s v="CUST-345"/>
    <x v="0"/>
    <x v="2"/>
    <x v="8"/>
    <n v="1"/>
    <n v="289.89999999999998"/>
    <n v="95"/>
    <x v="8"/>
    <n v="95"/>
    <n v="194.9"/>
    <x v="1"/>
    <x v="1"/>
  </r>
  <r>
    <s v="ZOV-1469"/>
    <x v="468"/>
    <s v="CUST-307"/>
    <x v="7"/>
    <x v="1"/>
    <x v="4"/>
    <n v="1"/>
    <n v="159.9"/>
    <n v="52"/>
    <x v="4"/>
    <n v="52"/>
    <n v="107.9"/>
    <x v="1"/>
    <x v="1"/>
  </r>
  <r>
    <s v="ZOV-1470"/>
    <x v="469"/>
    <s v="CUST-229"/>
    <x v="4"/>
    <x v="2"/>
    <x v="9"/>
    <n v="1"/>
    <n v="259.89999999999998"/>
    <n v="82"/>
    <x v="10"/>
    <n v="82"/>
    <n v="177.9"/>
    <x v="0"/>
    <x v="0"/>
  </r>
  <r>
    <s v="ZOV-1471"/>
    <x v="470"/>
    <s v="CUST-163"/>
    <x v="4"/>
    <x v="0"/>
    <x v="0"/>
    <n v="1"/>
    <n v="129.9"/>
    <n v="40"/>
    <x v="21"/>
    <n v="40"/>
    <n v="89.9"/>
    <x v="0"/>
    <x v="1"/>
  </r>
  <r>
    <s v="ZOV-1472"/>
    <x v="471"/>
    <s v="CUST-234"/>
    <x v="1"/>
    <x v="0"/>
    <x v="0"/>
    <n v="1"/>
    <n v="129.9"/>
    <n v="40"/>
    <x v="21"/>
    <n v="40"/>
    <n v="89.9"/>
    <x v="0"/>
    <x v="0"/>
  </r>
  <r>
    <s v="ZOV-1473"/>
    <x v="472"/>
    <s v="CUST-193"/>
    <x v="1"/>
    <x v="1"/>
    <x v="4"/>
    <n v="1"/>
    <n v="159.9"/>
    <n v="52"/>
    <x v="4"/>
    <n v="52"/>
    <n v="107.9"/>
    <x v="1"/>
    <x v="1"/>
  </r>
  <r>
    <s v="ZOV-1474"/>
    <x v="473"/>
    <s v="CUST-204"/>
    <x v="1"/>
    <x v="1"/>
    <x v="4"/>
    <n v="1"/>
    <n v="159.9"/>
    <n v="52"/>
    <x v="4"/>
    <n v="52"/>
    <n v="107.9"/>
    <x v="1"/>
    <x v="1"/>
  </r>
  <r>
    <s v="ZOV-1475"/>
    <x v="474"/>
    <s v="CUST-113"/>
    <x v="4"/>
    <x v="3"/>
    <x v="10"/>
    <n v="2"/>
    <n v="279.89999999999998"/>
    <n v="90"/>
    <x v="16"/>
    <n v="180"/>
    <n v="379.8"/>
    <x v="1"/>
    <x v="1"/>
  </r>
  <r>
    <s v="ZOV-1476"/>
    <x v="475"/>
    <s v="CUST-116"/>
    <x v="1"/>
    <x v="1"/>
    <x v="4"/>
    <n v="2"/>
    <n v="159.9"/>
    <n v="52"/>
    <x v="17"/>
    <n v="104"/>
    <n v="215.8"/>
    <x v="1"/>
    <x v="1"/>
  </r>
  <r>
    <s v="ZOV-1477"/>
    <x v="476"/>
    <s v="CUST-273"/>
    <x v="3"/>
    <x v="3"/>
    <x v="7"/>
    <n v="3"/>
    <n v="219.9"/>
    <n v="70"/>
    <x v="31"/>
    <n v="210"/>
    <n v="449.7"/>
    <x v="1"/>
    <x v="1"/>
  </r>
  <r>
    <s v="ZOV-1478"/>
    <x v="477"/>
    <s v="CUST-285"/>
    <x v="2"/>
    <x v="1"/>
    <x v="1"/>
    <n v="1"/>
    <n v="139.9"/>
    <n v="45"/>
    <x v="3"/>
    <n v="45"/>
    <n v="94.9"/>
    <x v="0"/>
    <x v="1"/>
  </r>
  <r>
    <s v="ZOV-1479"/>
    <x v="478"/>
    <s v="CUST-249"/>
    <x v="0"/>
    <x v="1"/>
    <x v="1"/>
    <n v="1"/>
    <n v="139.9"/>
    <n v="45"/>
    <x v="3"/>
    <n v="45"/>
    <n v="94.9"/>
    <x v="1"/>
    <x v="1"/>
  </r>
  <r>
    <s v="ZOV-1480"/>
    <x v="479"/>
    <s v="CUST-347"/>
    <x v="1"/>
    <x v="1"/>
    <x v="2"/>
    <n v="1"/>
    <n v="169.9"/>
    <n v="55"/>
    <x v="2"/>
    <n v="55"/>
    <n v="114.9"/>
    <x v="0"/>
    <x v="1"/>
  </r>
  <r>
    <s v="ZOV-1481"/>
    <x v="480"/>
    <s v="CUST-281"/>
    <x v="1"/>
    <x v="1"/>
    <x v="3"/>
    <n v="1"/>
    <n v="139.9"/>
    <n v="45"/>
    <x v="3"/>
    <n v="45"/>
    <n v="94.9"/>
    <x v="1"/>
    <x v="1"/>
  </r>
  <r>
    <s v="ZOV-1482"/>
    <x v="481"/>
    <s v="CUST-196"/>
    <x v="2"/>
    <x v="1"/>
    <x v="4"/>
    <n v="1"/>
    <n v="159.9"/>
    <n v="52"/>
    <x v="4"/>
    <n v="52"/>
    <n v="107.9"/>
    <x v="2"/>
    <x v="1"/>
  </r>
  <r>
    <s v="ZOV-1483"/>
    <x v="482"/>
    <s v="CUST-123"/>
    <x v="4"/>
    <x v="1"/>
    <x v="2"/>
    <n v="1"/>
    <n v="169.9"/>
    <n v="55"/>
    <x v="2"/>
    <n v="55"/>
    <n v="114.9"/>
    <x v="1"/>
    <x v="1"/>
  </r>
  <r>
    <s v="ZOV-1484"/>
    <x v="483"/>
    <s v="CUST-104"/>
    <x v="5"/>
    <x v="1"/>
    <x v="4"/>
    <n v="1"/>
    <n v="159.9"/>
    <n v="52"/>
    <x v="4"/>
    <n v="52"/>
    <n v="107.9"/>
    <x v="1"/>
    <x v="1"/>
  </r>
  <r>
    <s v="ZOV-1485"/>
    <x v="484"/>
    <s v="CUST-343"/>
    <x v="1"/>
    <x v="1"/>
    <x v="1"/>
    <n v="2"/>
    <n v="139.9"/>
    <n v="45"/>
    <x v="1"/>
    <n v="90"/>
    <n v="189.8"/>
    <x v="1"/>
    <x v="0"/>
  </r>
  <r>
    <s v="ZOV-1486"/>
    <x v="485"/>
    <s v="CUST-149"/>
    <x v="6"/>
    <x v="1"/>
    <x v="1"/>
    <n v="3"/>
    <n v="139.9"/>
    <n v="45"/>
    <x v="11"/>
    <n v="135"/>
    <n v="284.7"/>
    <x v="1"/>
    <x v="1"/>
  </r>
  <r>
    <s v="ZOV-1487"/>
    <x v="486"/>
    <s v="CUST-119"/>
    <x v="2"/>
    <x v="3"/>
    <x v="7"/>
    <n v="4"/>
    <n v="219.9"/>
    <n v="70"/>
    <x v="41"/>
    <n v="280"/>
    <n v="599.6"/>
    <x v="1"/>
    <x v="3"/>
  </r>
  <r>
    <s v="ZOV-1488"/>
    <x v="487"/>
    <s v="CUST-229"/>
    <x v="0"/>
    <x v="1"/>
    <x v="3"/>
    <n v="1"/>
    <n v="139.9"/>
    <n v="45"/>
    <x v="3"/>
    <n v="45"/>
    <n v="94.9"/>
    <x v="0"/>
    <x v="0"/>
  </r>
  <r>
    <s v="ZOV-1489"/>
    <x v="488"/>
    <s v="CUST-324"/>
    <x v="2"/>
    <x v="2"/>
    <x v="9"/>
    <n v="2"/>
    <n v="259.89999999999998"/>
    <n v="82"/>
    <x v="13"/>
    <n v="164"/>
    <n v="355.8"/>
    <x v="0"/>
    <x v="1"/>
  </r>
  <r>
    <s v="ZOV-1490"/>
    <x v="489"/>
    <s v="CUST-196"/>
    <x v="1"/>
    <x v="1"/>
    <x v="1"/>
    <n v="1"/>
    <n v="139.9"/>
    <n v="45"/>
    <x v="3"/>
    <n v="45"/>
    <n v="94.9"/>
    <x v="1"/>
    <x v="1"/>
  </r>
  <r>
    <s v="ZOV-1491"/>
    <x v="490"/>
    <s v="CUST-312"/>
    <x v="1"/>
    <x v="0"/>
    <x v="0"/>
    <n v="1"/>
    <n v="129.9"/>
    <n v="40"/>
    <x v="21"/>
    <n v="40"/>
    <n v="89.9"/>
    <x v="1"/>
    <x v="1"/>
  </r>
  <r>
    <s v="ZOV-1492"/>
    <x v="491"/>
    <s v="CUST-307"/>
    <x v="1"/>
    <x v="1"/>
    <x v="1"/>
    <n v="1"/>
    <n v="139.9"/>
    <n v="45"/>
    <x v="3"/>
    <n v="45"/>
    <n v="94.9"/>
    <x v="1"/>
    <x v="1"/>
  </r>
  <r>
    <s v="ZOV-1493"/>
    <x v="492"/>
    <s v="CUST-111"/>
    <x v="9"/>
    <x v="3"/>
    <x v="7"/>
    <n v="1"/>
    <n v="219.9"/>
    <n v="70"/>
    <x v="7"/>
    <n v="70"/>
    <n v="149.9"/>
    <x v="0"/>
    <x v="1"/>
  </r>
  <r>
    <s v="ZOV-1494"/>
    <x v="493"/>
    <s v="CUST-348"/>
    <x v="1"/>
    <x v="1"/>
    <x v="2"/>
    <n v="1"/>
    <n v="169.9"/>
    <n v="55"/>
    <x v="2"/>
    <n v="55"/>
    <n v="114.9"/>
    <x v="1"/>
    <x v="1"/>
  </r>
  <r>
    <s v="ZOV-1495"/>
    <x v="494"/>
    <s v="CUST-292"/>
    <x v="1"/>
    <x v="0"/>
    <x v="0"/>
    <n v="3"/>
    <n v="129.9"/>
    <n v="40"/>
    <x v="20"/>
    <n v="120"/>
    <n v="269.7"/>
    <x v="0"/>
    <x v="1"/>
  </r>
  <r>
    <s v="ZOV-1496"/>
    <x v="495"/>
    <s v="CUST-159"/>
    <x v="8"/>
    <x v="1"/>
    <x v="1"/>
    <n v="2"/>
    <n v="139.9"/>
    <n v="45"/>
    <x v="1"/>
    <n v="90"/>
    <n v="189.8"/>
    <x v="1"/>
    <x v="1"/>
  </r>
  <r>
    <s v="ZOV-1497"/>
    <x v="496"/>
    <s v="CUST-331"/>
    <x v="1"/>
    <x v="3"/>
    <x v="6"/>
    <n v="3"/>
    <n v="249.9"/>
    <n v="80"/>
    <x v="6"/>
    <n v="240"/>
    <n v="509.7"/>
    <x v="1"/>
    <x v="1"/>
  </r>
  <r>
    <s v="ZOV-1498"/>
    <x v="497"/>
    <s v="CUST-212"/>
    <x v="9"/>
    <x v="2"/>
    <x v="5"/>
    <n v="2"/>
    <n v="319.89999999999998"/>
    <n v="105"/>
    <x v="30"/>
    <n v="210"/>
    <n v="429.8"/>
    <x v="0"/>
    <x v="1"/>
  </r>
  <r>
    <s v="ZOV-1499"/>
    <x v="498"/>
    <s v="CUST-299"/>
    <x v="1"/>
    <x v="1"/>
    <x v="2"/>
    <n v="2"/>
    <n v="169.9"/>
    <n v="55"/>
    <x v="26"/>
    <n v="110"/>
    <n v="229.8"/>
    <x v="1"/>
    <x v="1"/>
  </r>
  <r>
    <s v="ZOV-1500"/>
    <x v="499"/>
    <s v="CUST-207"/>
    <x v="0"/>
    <x v="2"/>
    <x v="8"/>
    <n v="2"/>
    <n v="289.89999999999998"/>
    <n v="95"/>
    <x v="18"/>
    <n v="190"/>
    <n v="389.8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D48C3-503A-483B-BFAF-DB20FC8DFB3E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>
  <location ref="E2:G7" firstHeaderRow="0" firstDataRow="1" firstDataCol="1"/>
  <pivotFields count="16">
    <pivotField showAll="0"/>
    <pivotField numFmtId="22" showAll="0">
      <items count="501">
        <item x="253"/>
        <item x="137"/>
        <item x="59"/>
        <item x="159"/>
        <item x="8"/>
        <item x="38"/>
        <item x="333"/>
        <item x="306"/>
        <item x="350"/>
        <item x="372"/>
        <item x="332"/>
        <item x="267"/>
        <item x="121"/>
        <item x="185"/>
        <item x="317"/>
        <item x="420"/>
        <item x="416"/>
        <item x="4"/>
        <item x="366"/>
        <item x="340"/>
        <item x="133"/>
        <item x="303"/>
        <item x="312"/>
        <item x="439"/>
        <item x="465"/>
        <item x="109"/>
        <item x="236"/>
        <item x="17"/>
        <item x="154"/>
        <item x="386"/>
        <item x="425"/>
        <item x="161"/>
        <item x="243"/>
        <item x="424"/>
        <item x="192"/>
        <item x="84"/>
        <item x="77"/>
        <item x="60"/>
        <item x="369"/>
        <item x="388"/>
        <item x="249"/>
        <item x="391"/>
        <item x="174"/>
        <item x="383"/>
        <item x="419"/>
        <item x="139"/>
        <item x="458"/>
        <item x="50"/>
        <item x="374"/>
        <item x="87"/>
        <item x="193"/>
        <item x="390"/>
        <item x="256"/>
        <item x="326"/>
        <item x="242"/>
        <item x="440"/>
        <item x="49"/>
        <item x="18"/>
        <item x="321"/>
        <item x="402"/>
        <item x="244"/>
        <item x="186"/>
        <item x="152"/>
        <item x="75"/>
        <item x="341"/>
        <item x="314"/>
        <item x="108"/>
        <item x="476"/>
        <item x="395"/>
        <item x="233"/>
        <item x="368"/>
        <item x="305"/>
        <item x="238"/>
        <item x="409"/>
        <item x="330"/>
        <item x="445"/>
        <item x="411"/>
        <item x="34"/>
        <item x="47"/>
        <item x="241"/>
        <item x="358"/>
        <item x="287"/>
        <item x="370"/>
        <item x="51"/>
        <item x="482"/>
        <item x="379"/>
        <item x="98"/>
        <item x="480"/>
        <item x="489"/>
        <item x="94"/>
        <item x="103"/>
        <item x="172"/>
        <item x="486"/>
        <item x="260"/>
        <item x="323"/>
        <item x="418"/>
        <item x="377"/>
        <item x="319"/>
        <item x="291"/>
        <item x="307"/>
        <item x="44"/>
        <item x="410"/>
        <item x="41"/>
        <item x="120"/>
        <item x="490"/>
        <item x="23"/>
        <item x="345"/>
        <item x="52"/>
        <item x="198"/>
        <item x="470"/>
        <item x="378"/>
        <item x="252"/>
        <item x="132"/>
        <item x="217"/>
        <item x="240"/>
        <item x="65"/>
        <item x="230"/>
        <item x="452"/>
        <item x="329"/>
        <item x="432"/>
        <item x="176"/>
        <item x="106"/>
        <item x="117"/>
        <item x="21"/>
        <item x="147"/>
        <item x="27"/>
        <item x="371"/>
        <item x="82"/>
        <item x="421"/>
        <item x="160"/>
        <item x="224"/>
        <item x="7"/>
        <item x="336"/>
        <item x="356"/>
        <item x="127"/>
        <item x="57"/>
        <item x="153"/>
        <item x="375"/>
        <item x="300"/>
        <item x="354"/>
        <item x="5"/>
        <item x="451"/>
        <item x="360"/>
        <item x="48"/>
        <item x="169"/>
        <item x="214"/>
        <item x="373"/>
        <item x="158"/>
        <item x="99"/>
        <item x="215"/>
        <item x="64"/>
        <item x="70"/>
        <item x="194"/>
        <item x="89"/>
        <item x="229"/>
        <item x="337"/>
        <item x="136"/>
        <item x="400"/>
        <item x="324"/>
        <item x="92"/>
        <item x="218"/>
        <item x="381"/>
        <item x="251"/>
        <item x="30"/>
        <item x="294"/>
        <item x="264"/>
        <item x="1"/>
        <item x="293"/>
        <item x="168"/>
        <item x="459"/>
        <item x="270"/>
        <item x="190"/>
        <item x="72"/>
        <item x="62"/>
        <item x="477"/>
        <item x="473"/>
        <item x="105"/>
        <item x="462"/>
        <item x="275"/>
        <item x="79"/>
        <item x="262"/>
        <item x="408"/>
        <item x="254"/>
        <item x="442"/>
        <item x="434"/>
        <item x="346"/>
        <item x="318"/>
        <item x="179"/>
        <item x="295"/>
        <item x="359"/>
        <item x="225"/>
        <item x="261"/>
        <item x="200"/>
        <item x="484"/>
        <item x="496"/>
        <item x="481"/>
        <item x="201"/>
        <item x="95"/>
        <item x="28"/>
        <item x="93"/>
        <item x="26"/>
        <item x="399"/>
        <item x="164"/>
        <item x="273"/>
        <item x="277"/>
        <item x="25"/>
        <item x="443"/>
        <item x="189"/>
        <item x="142"/>
        <item x="131"/>
        <item x="61"/>
        <item x="304"/>
        <item x="274"/>
        <item x="478"/>
        <item x="171"/>
        <item x="216"/>
        <item x="417"/>
        <item x="308"/>
        <item x="40"/>
        <item x="422"/>
        <item x="9"/>
        <item x="485"/>
        <item x="134"/>
        <item x="297"/>
        <item x="428"/>
        <item x="126"/>
        <item x="479"/>
        <item x="450"/>
        <item x="438"/>
        <item x="118"/>
        <item x="234"/>
        <item x="116"/>
        <item x="349"/>
        <item x="20"/>
        <item x="493"/>
        <item x="412"/>
        <item x="497"/>
        <item x="114"/>
        <item x="14"/>
        <item x="11"/>
        <item x="19"/>
        <item x="188"/>
        <item x="178"/>
        <item x="436"/>
        <item x="393"/>
        <item x="36"/>
        <item x="302"/>
        <item x="78"/>
        <item x="202"/>
        <item x="431"/>
        <item x="29"/>
        <item x="128"/>
        <item x="32"/>
        <item x="398"/>
        <item x="55"/>
        <item x="88"/>
        <item x="279"/>
        <item x="397"/>
        <item x="406"/>
        <item x="342"/>
        <item x="427"/>
        <item x="382"/>
        <item x="258"/>
        <item x="53"/>
        <item x="389"/>
        <item x="248"/>
        <item x="206"/>
        <item x="115"/>
        <item x="266"/>
        <item x="66"/>
        <item x="396"/>
        <item x="210"/>
        <item x="265"/>
        <item x="471"/>
        <item x="283"/>
        <item x="100"/>
        <item x="316"/>
        <item x="367"/>
        <item x="247"/>
        <item x="73"/>
        <item x="111"/>
        <item x="223"/>
        <item x="71"/>
        <item x="456"/>
        <item x="461"/>
        <item x="468"/>
        <item x="276"/>
        <item x="162"/>
        <item x="298"/>
        <item x="351"/>
        <item x="361"/>
        <item x="394"/>
        <item x="444"/>
        <item x="387"/>
        <item x="187"/>
        <item x="357"/>
        <item x="464"/>
        <item x="67"/>
        <item x="347"/>
        <item x="184"/>
        <item x="197"/>
        <item x="325"/>
        <item x="148"/>
        <item x="191"/>
        <item x="125"/>
        <item x="290"/>
        <item x="272"/>
        <item x="239"/>
        <item x="196"/>
        <item x="182"/>
        <item x="81"/>
        <item x="181"/>
        <item x="76"/>
        <item x="208"/>
        <item x="296"/>
        <item x="435"/>
        <item x="467"/>
        <item x="42"/>
        <item x="385"/>
        <item x="499"/>
        <item x="85"/>
        <item x="437"/>
        <item x="460"/>
        <item x="141"/>
        <item x="107"/>
        <item x="86"/>
        <item x="135"/>
        <item x="292"/>
        <item x="289"/>
        <item x="483"/>
        <item x="130"/>
        <item x="149"/>
        <item x="33"/>
        <item x="278"/>
        <item x="384"/>
        <item x="220"/>
        <item x="56"/>
        <item x="446"/>
        <item x="37"/>
        <item x="344"/>
        <item x="449"/>
        <item x="231"/>
        <item x="97"/>
        <item x="180"/>
        <item x="83"/>
        <item x="175"/>
        <item x="45"/>
        <item x="3"/>
        <item x="146"/>
        <item x="282"/>
        <item x="165"/>
        <item x="143"/>
        <item x="286"/>
        <item x="226"/>
        <item x="404"/>
        <item x="112"/>
        <item x="6"/>
        <item x="355"/>
        <item x="405"/>
        <item x="414"/>
        <item x="205"/>
        <item x="320"/>
        <item x="413"/>
        <item x="441"/>
        <item x="16"/>
        <item x="331"/>
        <item x="91"/>
        <item x="327"/>
        <item x="380"/>
        <item x="58"/>
        <item x="46"/>
        <item x="12"/>
        <item x="334"/>
        <item x="245"/>
        <item x="22"/>
        <item x="472"/>
        <item x="494"/>
        <item x="101"/>
        <item x="365"/>
        <item x="145"/>
        <item x="463"/>
        <item x="90"/>
        <item x="119"/>
        <item x="322"/>
        <item x="195"/>
        <item x="280"/>
        <item x="96"/>
        <item x="338"/>
        <item x="43"/>
        <item x="457"/>
        <item x="311"/>
        <item x="15"/>
        <item x="313"/>
        <item x="156"/>
        <item x="284"/>
        <item x="209"/>
        <item x="271"/>
        <item x="392"/>
        <item x="0"/>
        <item x="110"/>
        <item x="353"/>
        <item x="24"/>
        <item x="415"/>
        <item x="339"/>
        <item x="68"/>
        <item x="259"/>
        <item x="288"/>
        <item x="475"/>
        <item x="207"/>
        <item x="309"/>
        <item x="466"/>
        <item x="211"/>
        <item x="74"/>
        <item x="364"/>
        <item x="150"/>
        <item x="140"/>
        <item x="488"/>
        <item x="426"/>
        <item x="151"/>
        <item x="430"/>
        <item x="144"/>
        <item x="163"/>
        <item x="102"/>
        <item x="183"/>
        <item x="352"/>
        <item x="310"/>
        <item x="348"/>
        <item x="429"/>
        <item x="474"/>
        <item x="35"/>
        <item x="138"/>
        <item x="401"/>
        <item x="113"/>
        <item x="328"/>
        <item x="263"/>
        <item x="222"/>
        <item x="203"/>
        <item x="173"/>
        <item x="177"/>
        <item x="237"/>
        <item x="299"/>
        <item x="204"/>
        <item x="157"/>
        <item x="362"/>
        <item x="219"/>
        <item x="228"/>
        <item x="255"/>
        <item x="285"/>
        <item x="235"/>
        <item x="469"/>
        <item x="170"/>
        <item x="199"/>
        <item x="423"/>
        <item x="221"/>
        <item x="492"/>
        <item x="63"/>
        <item x="69"/>
        <item x="13"/>
        <item x="213"/>
        <item x="2"/>
        <item x="123"/>
        <item x="232"/>
        <item x="363"/>
        <item x="447"/>
        <item x="403"/>
        <item x="301"/>
        <item x="166"/>
        <item x="227"/>
        <item x="104"/>
        <item x="31"/>
        <item x="167"/>
        <item x="39"/>
        <item x="407"/>
        <item x="54"/>
        <item x="455"/>
        <item x="281"/>
        <item x="315"/>
        <item x="453"/>
        <item x="269"/>
        <item x="250"/>
        <item x="268"/>
        <item x="10"/>
        <item x="155"/>
        <item x="433"/>
        <item x="498"/>
        <item x="129"/>
        <item x="491"/>
        <item x="454"/>
        <item x="335"/>
        <item x="212"/>
        <item x="246"/>
        <item x="448"/>
        <item x="122"/>
        <item x="495"/>
        <item x="80"/>
        <item x="487"/>
        <item x="124"/>
        <item x="343"/>
        <item x="376"/>
        <item x="257"/>
        <item t="default"/>
      </items>
    </pivotField>
    <pivotField showAll="0"/>
    <pivotField showAll="0">
      <items count="11">
        <item x="8"/>
        <item x="6"/>
        <item x="9"/>
        <item x="2"/>
        <item x="5"/>
        <item x="4"/>
        <item x="0"/>
        <item x="3"/>
        <item x="7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14">
        <item x="12"/>
        <item x="11"/>
        <item x="6"/>
        <item x="10"/>
        <item x="7"/>
        <item x="2"/>
        <item x="4"/>
        <item x="3"/>
        <item x="1"/>
        <item x="5"/>
        <item x="8"/>
        <item x="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axis="axisRow" dataField="1" showAll="0">
      <items count="5">
        <item x="0"/>
        <item x="3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Status" fld="13" subtotal="count" baseField="13" baseItem="0"/>
    <dataField name="% dos pedidos" fld="13" subtotal="count" showDataAs="percentOfTotal" baseField="1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4E28A-6AE7-42CD-961D-2A2B6A8DCFF8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>
  <location ref="A4:A5" firstHeaderRow="1" firstDataRow="1" firstDataCol="0" rowPageCount="1" colPageCount="1"/>
  <pivotFields count="16">
    <pivotField showAll="0"/>
    <pivotField numFmtId="22" showAll="0">
      <items count="501">
        <item x="253"/>
        <item x="137"/>
        <item x="59"/>
        <item x="159"/>
        <item x="8"/>
        <item x="38"/>
        <item x="333"/>
        <item x="306"/>
        <item x="350"/>
        <item x="372"/>
        <item x="332"/>
        <item x="267"/>
        <item x="121"/>
        <item x="185"/>
        <item x="317"/>
        <item x="420"/>
        <item x="416"/>
        <item x="4"/>
        <item x="366"/>
        <item x="340"/>
        <item x="133"/>
        <item x="303"/>
        <item x="312"/>
        <item x="439"/>
        <item x="465"/>
        <item x="109"/>
        <item x="236"/>
        <item x="17"/>
        <item x="154"/>
        <item x="386"/>
        <item x="425"/>
        <item x="161"/>
        <item x="243"/>
        <item x="424"/>
        <item x="192"/>
        <item x="84"/>
        <item x="77"/>
        <item x="60"/>
        <item x="369"/>
        <item x="388"/>
        <item x="249"/>
        <item x="391"/>
        <item x="174"/>
        <item x="383"/>
        <item x="419"/>
        <item x="139"/>
        <item x="458"/>
        <item x="50"/>
        <item x="374"/>
        <item x="87"/>
        <item x="193"/>
        <item x="390"/>
        <item x="256"/>
        <item x="326"/>
        <item x="242"/>
        <item x="440"/>
        <item x="49"/>
        <item x="18"/>
        <item x="321"/>
        <item x="402"/>
        <item x="244"/>
        <item x="186"/>
        <item x="152"/>
        <item x="75"/>
        <item x="341"/>
        <item x="314"/>
        <item x="108"/>
        <item x="476"/>
        <item x="395"/>
        <item x="233"/>
        <item x="368"/>
        <item x="305"/>
        <item x="238"/>
        <item x="409"/>
        <item x="330"/>
        <item x="445"/>
        <item x="411"/>
        <item x="34"/>
        <item x="47"/>
        <item x="241"/>
        <item x="358"/>
        <item x="287"/>
        <item x="370"/>
        <item x="51"/>
        <item x="482"/>
        <item x="379"/>
        <item x="98"/>
        <item x="480"/>
        <item x="489"/>
        <item x="94"/>
        <item x="103"/>
        <item x="172"/>
        <item x="486"/>
        <item x="260"/>
        <item x="323"/>
        <item x="418"/>
        <item x="377"/>
        <item x="319"/>
        <item x="291"/>
        <item x="307"/>
        <item x="44"/>
        <item x="410"/>
        <item x="41"/>
        <item x="120"/>
        <item x="490"/>
        <item x="23"/>
        <item x="345"/>
        <item x="52"/>
        <item x="198"/>
        <item x="470"/>
        <item x="378"/>
        <item x="252"/>
        <item x="132"/>
        <item x="217"/>
        <item x="240"/>
        <item x="65"/>
        <item x="230"/>
        <item x="452"/>
        <item x="329"/>
        <item x="432"/>
        <item x="176"/>
        <item x="106"/>
        <item x="117"/>
        <item x="21"/>
        <item x="147"/>
        <item x="27"/>
        <item x="371"/>
        <item x="82"/>
        <item x="421"/>
        <item x="160"/>
        <item x="224"/>
        <item x="7"/>
        <item x="336"/>
        <item x="356"/>
        <item x="127"/>
        <item x="57"/>
        <item x="153"/>
        <item x="375"/>
        <item x="300"/>
        <item x="354"/>
        <item x="5"/>
        <item x="451"/>
        <item x="360"/>
        <item x="48"/>
        <item x="169"/>
        <item x="214"/>
        <item x="373"/>
        <item x="158"/>
        <item x="99"/>
        <item x="215"/>
        <item x="64"/>
        <item x="70"/>
        <item x="194"/>
        <item x="89"/>
        <item x="229"/>
        <item x="337"/>
        <item x="136"/>
        <item x="400"/>
        <item x="324"/>
        <item x="92"/>
        <item x="218"/>
        <item x="381"/>
        <item x="251"/>
        <item x="30"/>
        <item x="294"/>
        <item x="264"/>
        <item x="1"/>
        <item x="293"/>
        <item x="168"/>
        <item x="459"/>
        <item x="270"/>
        <item x="190"/>
        <item x="72"/>
        <item x="62"/>
        <item x="477"/>
        <item x="473"/>
        <item x="105"/>
        <item x="462"/>
        <item x="275"/>
        <item x="79"/>
        <item x="262"/>
        <item x="408"/>
        <item x="254"/>
        <item x="442"/>
        <item x="434"/>
        <item x="346"/>
        <item x="318"/>
        <item x="179"/>
        <item x="295"/>
        <item x="359"/>
        <item x="225"/>
        <item x="261"/>
        <item x="200"/>
        <item x="484"/>
        <item x="496"/>
        <item x="481"/>
        <item x="201"/>
        <item x="95"/>
        <item x="28"/>
        <item x="93"/>
        <item x="26"/>
        <item x="399"/>
        <item x="164"/>
        <item x="273"/>
        <item x="277"/>
        <item x="25"/>
        <item x="443"/>
        <item x="189"/>
        <item x="142"/>
        <item x="131"/>
        <item x="61"/>
        <item x="304"/>
        <item x="274"/>
        <item x="478"/>
        <item x="171"/>
        <item x="216"/>
        <item x="417"/>
        <item x="308"/>
        <item x="40"/>
        <item x="422"/>
        <item x="9"/>
        <item x="485"/>
        <item x="134"/>
        <item x="297"/>
        <item x="428"/>
        <item x="126"/>
        <item x="479"/>
        <item x="450"/>
        <item x="438"/>
        <item x="118"/>
        <item x="234"/>
        <item x="116"/>
        <item x="349"/>
        <item x="20"/>
        <item x="493"/>
        <item x="412"/>
        <item x="497"/>
        <item x="114"/>
        <item x="14"/>
        <item x="11"/>
        <item x="19"/>
        <item x="188"/>
        <item x="178"/>
        <item x="436"/>
        <item x="393"/>
        <item x="36"/>
        <item x="302"/>
        <item x="78"/>
        <item x="202"/>
        <item x="431"/>
        <item x="29"/>
        <item x="128"/>
        <item x="32"/>
        <item x="398"/>
        <item x="55"/>
        <item x="88"/>
        <item x="279"/>
        <item x="397"/>
        <item x="406"/>
        <item x="342"/>
        <item x="427"/>
        <item x="382"/>
        <item x="258"/>
        <item x="53"/>
        <item x="389"/>
        <item x="248"/>
        <item x="206"/>
        <item x="115"/>
        <item x="266"/>
        <item x="66"/>
        <item x="396"/>
        <item x="210"/>
        <item x="265"/>
        <item x="471"/>
        <item x="283"/>
        <item x="100"/>
        <item x="316"/>
        <item x="367"/>
        <item x="247"/>
        <item x="73"/>
        <item x="111"/>
        <item x="223"/>
        <item x="71"/>
        <item x="456"/>
        <item x="461"/>
        <item x="468"/>
        <item x="276"/>
        <item x="162"/>
        <item x="298"/>
        <item x="351"/>
        <item x="361"/>
        <item x="394"/>
        <item x="444"/>
        <item x="387"/>
        <item x="187"/>
        <item x="357"/>
        <item x="464"/>
        <item x="67"/>
        <item x="347"/>
        <item x="184"/>
        <item x="197"/>
        <item x="325"/>
        <item x="148"/>
        <item x="191"/>
        <item x="125"/>
        <item x="290"/>
        <item x="272"/>
        <item x="239"/>
        <item x="196"/>
        <item x="182"/>
        <item x="81"/>
        <item x="181"/>
        <item x="76"/>
        <item x="208"/>
        <item x="296"/>
        <item x="435"/>
        <item x="467"/>
        <item x="42"/>
        <item x="385"/>
        <item x="499"/>
        <item x="85"/>
        <item x="437"/>
        <item x="460"/>
        <item x="141"/>
        <item x="107"/>
        <item x="86"/>
        <item x="135"/>
        <item x="292"/>
        <item x="289"/>
        <item x="483"/>
        <item x="130"/>
        <item x="149"/>
        <item x="33"/>
        <item x="278"/>
        <item x="384"/>
        <item x="220"/>
        <item x="56"/>
        <item x="446"/>
        <item x="37"/>
        <item x="344"/>
        <item x="449"/>
        <item x="231"/>
        <item x="97"/>
        <item x="180"/>
        <item x="83"/>
        <item x="175"/>
        <item x="45"/>
        <item x="3"/>
        <item x="146"/>
        <item x="282"/>
        <item x="165"/>
        <item x="143"/>
        <item x="286"/>
        <item x="226"/>
        <item x="404"/>
        <item x="112"/>
        <item x="6"/>
        <item x="355"/>
        <item x="405"/>
        <item x="414"/>
        <item x="205"/>
        <item x="320"/>
        <item x="413"/>
        <item x="441"/>
        <item x="16"/>
        <item x="331"/>
        <item x="91"/>
        <item x="327"/>
        <item x="380"/>
        <item x="58"/>
        <item x="46"/>
        <item x="12"/>
        <item x="334"/>
        <item x="245"/>
        <item x="22"/>
        <item x="472"/>
        <item x="494"/>
        <item x="101"/>
        <item x="365"/>
        <item x="145"/>
        <item x="463"/>
        <item x="90"/>
        <item x="119"/>
        <item x="322"/>
        <item x="195"/>
        <item x="280"/>
        <item x="96"/>
        <item x="338"/>
        <item x="43"/>
        <item x="457"/>
        <item x="311"/>
        <item x="15"/>
        <item x="313"/>
        <item x="156"/>
        <item x="284"/>
        <item x="209"/>
        <item x="271"/>
        <item x="392"/>
        <item x="0"/>
        <item x="110"/>
        <item x="353"/>
        <item x="24"/>
        <item x="415"/>
        <item x="339"/>
        <item x="68"/>
        <item x="259"/>
        <item x="288"/>
        <item x="475"/>
        <item x="207"/>
        <item x="309"/>
        <item x="466"/>
        <item x="211"/>
        <item x="74"/>
        <item x="364"/>
        <item x="150"/>
        <item x="140"/>
        <item x="488"/>
        <item x="426"/>
        <item x="151"/>
        <item x="430"/>
        <item x="144"/>
        <item x="163"/>
        <item x="102"/>
        <item x="183"/>
        <item x="352"/>
        <item x="310"/>
        <item x="348"/>
        <item x="429"/>
        <item x="474"/>
        <item x="35"/>
        <item x="138"/>
        <item x="401"/>
        <item x="113"/>
        <item x="328"/>
        <item x="263"/>
        <item x="222"/>
        <item x="203"/>
        <item x="173"/>
        <item x="177"/>
        <item x="237"/>
        <item x="299"/>
        <item x="204"/>
        <item x="157"/>
        <item x="362"/>
        <item x="219"/>
        <item x="228"/>
        <item x="255"/>
        <item x="285"/>
        <item x="235"/>
        <item x="469"/>
        <item x="170"/>
        <item x="199"/>
        <item x="423"/>
        <item x="221"/>
        <item x="492"/>
        <item x="63"/>
        <item x="69"/>
        <item x="13"/>
        <item x="213"/>
        <item x="2"/>
        <item x="123"/>
        <item x="232"/>
        <item x="363"/>
        <item x="447"/>
        <item x="403"/>
        <item x="301"/>
        <item x="166"/>
        <item x="227"/>
        <item x="104"/>
        <item x="31"/>
        <item x="167"/>
        <item x="39"/>
        <item x="407"/>
        <item x="54"/>
        <item x="455"/>
        <item x="281"/>
        <item x="315"/>
        <item x="453"/>
        <item x="269"/>
        <item x="250"/>
        <item x="268"/>
        <item x="10"/>
        <item x="155"/>
        <item x="433"/>
        <item x="498"/>
        <item x="129"/>
        <item x="491"/>
        <item x="454"/>
        <item x="335"/>
        <item x="212"/>
        <item x="246"/>
        <item x="448"/>
        <item x="122"/>
        <item x="495"/>
        <item x="80"/>
        <item x="487"/>
        <item x="124"/>
        <item x="343"/>
        <item x="376"/>
        <item x="257"/>
        <item t="default"/>
      </items>
    </pivotField>
    <pivotField showAll="0"/>
    <pivotField showAll="0">
      <items count="11">
        <item x="8"/>
        <item x="6"/>
        <item x="9"/>
        <item x="2"/>
        <item x="5"/>
        <item x="4"/>
        <item x="0"/>
        <item x="3"/>
        <item x="7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14">
        <item x="12"/>
        <item x="11"/>
        <item x="6"/>
        <item x="10"/>
        <item x="7"/>
        <item x="2"/>
        <item x="4"/>
        <item x="3"/>
        <item x="1"/>
        <item x="5"/>
        <item x="8"/>
        <item x="9"/>
        <item x="0"/>
        <item t="default"/>
      </items>
    </pivotField>
    <pivotField showAll="0"/>
    <pivotField showAll="0"/>
    <pivotField showAll="0"/>
    <pivotField dataField="1" showAll="0">
      <items count="43">
        <item x="27"/>
        <item x="19"/>
        <item x="21"/>
        <item x="3"/>
        <item x="35"/>
        <item x="4"/>
        <item x="2"/>
        <item x="25"/>
        <item x="7"/>
        <item x="36"/>
        <item x="24"/>
        <item x="0"/>
        <item x="10"/>
        <item x="23"/>
        <item x="1"/>
        <item x="12"/>
        <item x="8"/>
        <item x="29"/>
        <item x="17"/>
        <item x="5"/>
        <item x="26"/>
        <item x="20"/>
        <item x="11"/>
        <item x="22"/>
        <item x="28"/>
        <item x="9"/>
        <item x="14"/>
        <item x="13"/>
        <item x="32"/>
        <item x="16"/>
        <item x="18"/>
        <item x="30"/>
        <item x="31"/>
        <item x="37"/>
        <item x="6"/>
        <item x="34"/>
        <item x="15"/>
        <item x="41"/>
        <item x="38"/>
        <item x="33"/>
        <item x="40"/>
        <item x="39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Page" showAll="0">
      <items count="5">
        <item x="0"/>
        <item x="3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3" hier="-1"/>
  </pageFields>
  <dataFields count="1">
    <dataField name="Faturamento Bruto" fld="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5A38C-D202-4CC5-A4CC-77ACD211646A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>
  <location ref="A14:A15" firstHeaderRow="1" firstDataRow="1" firstDataCol="0" rowPageCount="1" colPageCount="1"/>
  <pivotFields count="16">
    <pivotField showAll="0"/>
    <pivotField numFmtId="22" showAll="0">
      <items count="501">
        <item x="253"/>
        <item x="137"/>
        <item x="59"/>
        <item x="159"/>
        <item x="8"/>
        <item x="38"/>
        <item x="333"/>
        <item x="306"/>
        <item x="350"/>
        <item x="372"/>
        <item x="332"/>
        <item x="267"/>
        <item x="121"/>
        <item x="185"/>
        <item x="317"/>
        <item x="420"/>
        <item x="416"/>
        <item x="4"/>
        <item x="366"/>
        <item x="340"/>
        <item x="133"/>
        <item x="303"/>
        <item x="312"/>
        <item x="439"/>
        <item x="465"/>
        <item x="109"/>
        <item x="236"/>
        <item x="17"/>
        <item x="154"/>
        <item x="386"/>
        <item x="425"/>
        <item x="161"/>
        <item x="243"/>
        <item x="424"/>
        <item x="192"/>
        <item x="84"/>
        <item x="77"/>
        <item x="60"/>
        <item x="369"/>
        <item x="388"/>
        <item x="249"/>
        <item x="391"/>
        <item x="174"/>
        <item x="383"/>
        <item x="419"/>
        <item x="139"/>
        <item x="458"/>
        <item x="50"/>
        <item x="374"/>
        <item x="87"/>
        <item x="193"/>
        <item x="390"/>
        <item x="256"/>
        <item x="326"/>
        <item x="242"/>
        <item x="440"/>
        <item x="49"/>
        <item x="18"/>
        <item x="321"/>
        <item x="402"/>
        <item x="244"/>
        <item x="186"/>
        <item x="152"/>
        <item x="75"/>
        <item x="341"/>
        <item x="314"/>
        <item x="108"/>
        <item x="476"/>
        <item x="395"/>
        <item x="233"/>
        <item x="368"/>
        <item x="305"/>
        <item x="238"/>
        <item x="409"/>
        <item x="330"/>
        <item x="445"/>
        <item x="411"/>
        <item x="34"/>
        <item x="47"/>
        <item x="241"/>
        <item x="358"/>
        <item x="287"/>
        <item x="370"/>
        <item x="51"/>
        <item x="482"/>
        <item x="379"/>
        <item x="98"/>
        <item x="480"/>
        <item x="489"/>
        <item x="94"/>
        <item x="103"/>
        <item x="172"/>
        <item x="486"/>
        <item x="260"/>
        <item x="323"/>
        <item x="418"/>
        <item x="377"/>
        <item x="319"/>
        <item x="291"/>
        <item x="307"/>
        <item x="44"/>
        <item x="410"/>
        <item x="41"/>
        <item x="120"/>
        <item x="490"/>
        <item x="23"/>
        <item x="345"/>
        <item x="52"/>
        <item x="198"/>
        <item x="470"/>
        <item x="378"/>
        <item x="252"/>
        <item x="132"/>
        <item x="217"/>
        <item x="240"/>
        <item x="65"/>
        <item x="230"/>
        <item x="452"/>
        <item x="329"/>
        <item x="432"/>
        <item x="176"/>
        <item x="106"/>
        <item x="117"/>
        <item x="21"/>
        <item x="147"/>
        <item x="27"/>
        <item x="371"/>
        <item x="82"/>
        <item x="421"/>
        <item x="160"/>
        <item x="224"/>
        <item x="7"/>
        <item x="336"/>
        <item x="356"/>
        <item x="127"/>
        <item x="57"/>
        <item x="153"/>
        <item x="375"/>
        <item x="300"/>
        <item x="354"/>
        <item x="5"/>
        <item x="451"/>
        <item x="360"/>
        <item x="48"/>
        <item x="169"/>
        <item x="214"/>
        <item x="373"/>
        <item x="158"/>
        <item x="99"/>
        <item x="215"/>
        <item x="64"/>
        <item x="70"/>
        <item x="194"/>
        <item x="89"/>
        <item x="229"/>
        <item x="337"/>
        <item x="136"/>
        <item x="400"/>
        <item x="324"/>
        <item x="92"/>
        <item x="218"/>
        <item x="381"/>
        <item x="251"/>
        <item x="30"/>
        <item x="294"/>
        <item x="264"/>
        <item x="1"/>
        <item x="293"/>
        <item x="168"/>
        <item x="459"/>
        <item x="270"/>
        <item x="190"/>
        <item x="72"/>
        <item x="62"/>
        <item x="477"/>
        <item x="473"/>
        <item x="105"/>
        <item x="462"/>
        <item x="275"/>
        <item x="79"/>
        <item x="262"/>
        <item x="408"/>
        <item x="254"/>
        <item x="442"/>
        <item x="434"/>
        <item x="346"/>
        <item x="318"/>
        <item x="179"/>
        <item x="295"/>
        <item x="359"/>
        <item x="225"/>
        <item x="261"/>
        <item x="200"/>
        <item x="484"/>
        <item x="496"/>
        <item x="481"/>
        <item x="201"/>
        <item x="95"/>
        <item x="28"/>
        <item x="93"/>
        <item x="26"/>
        <item x="399"/>
        <item x="164"/>
        <item x="273"/>
        <item x="277"/>
        <item x="25"/>
        <item x="443"/>
        <item x="189"/>
        <item x="142"/>
        <item x="131"/>
        <item x="61"/>
        <item x="304"/>
        <item x="274"/>
        <item x="478"/>
        <item x="171"/>
        <item x="216"/>
        <item x="417"/>
        <item x="308"/>
        <item x="40"/>
        <item x="422"/>
        <item x="9"/>
        <item x="485"/>
        <item x="134"/>
        <item x="297"/>
        <item x="428"/>
        <item x="126"/>
        <item x="479"/>
        <item x="450"/>
        <item x="438"/>
        <item x="118"/>
        <item x="234"/>
        <item x="116"/>
        <item x="349"/>
        <item x="20"/>
        <item x="493"/>
        <item x="412"/>
        <item x="497"/>
        <item x="114"/>
        <item x="14"/>
        <item x="11"/>
        <item x="19"/>
        <item x="188"/>
        <item x="178"/>
        <item x="436"/>
        <item x="393"/>
        <item x="36"/>
        <item x="302"/>
        <item x="78"/>
        <item x="202"/>
        <item x="431"/>
        <item x="29"/>
        <item x="128"/>
        <item x="32"/>
        <item x="398"/>
        <item x="55"/>
        <item x="88"/>
        <item x="279"/>
        <item x="397"/>
        <item x="406"/>
        <item x="342"/>
        <item x="427"/>
        <item x="382"/>
        <item x="258"/>
        <item x="53"/>
        <item x="389"/>
        <item x="248"/>
        <item x="206"/>
        <item x="115"/>
        <item x="266"/>
        <item x="66"/>
        <item x="396"/>
        <item x="210"/>
        <item x="265"/>
        <item x="471"/>
        <item x="283"/>
        <item x="100"/>
        <item x="316"/>
        <item x="367"/>
        <item x="247"/>
        <item x="73"/>
        <item x="111"/>
        <item x="223"/>
        <item x="71"/>
        <item x="456"/>
        <item x="461"/>
        <item x="468"/>
        <item x="276"/>
        <item x="162"/>
        <item x="298"/>
        <item x="351"/>
        <item x="361"/>
        <item x="394"/>
        <item x="444"/>
        <item x="387"/>
        <item x="187"/>
        <item x="357"/>
        <item x="464"/>
        <item x="67"/>
        <item x="347"/>
        <item x="184"/>
        <item x="197"/>
        <item x="325"/>
        <item x="148"/>
        <item x="191"/>
        <item x="125"/>
        <item x="290"/>
        <item x="272"/>
        <item x="239"/>
        <item x="196"/>
        <item x="182"/>
        <item x="81"/>
        <item x="181"/>
        <item x="76"/>
        <item x="208"/>
        <item x="296"/>
        <item x="435"/>
        <item x="467"/>
        <item x="42"/>
        <item x="385"/>
        <item x="499"/>
        <item x="85"/>
        <item x="437"/>
        <item x="460"/>
        <item x="141"/>
        <item x="107"/>
        <item x="86"/>
        <item x="135"/>
        <item x="292"/>
        <item x="289"/>
        <item x="483"/>
        <item x="130"/>
        <item x="149"/>
        <item x="33"/>
        <item x="278"/>
        <item x="384"/>
        <item x="220"/>
        <item x="56"/>
        <item x="446"/>
        <item x="37"/>
        <item x="344"/>
        <item x="449"/>
        <item x="231"/>
        <item x="97"/>
        <item x="180"/>
        <item x="83"/>
        <item x="175"/>
        <item x="45"/>
        <item x="3"/>
        <item x="146"/>
        <item x="282"/>
        <item x="165"/>
        <item x="143"/>
        <item x="286"/>
        <item x="226"/>
        <item x="404"/>
        <item x="112"/>
        <item x="6"/>
        <item x="355"/>
        <item x="405"/>
        <item x="414"/>
        <item x="205"/>
        <item x="320"/>
        <item x="413"/>
        <item x="441"/>
        <item x="16"/>
        <item x="331"/>
        <item x="91"/>
        <item x="327"/>
        <item x="380"/>
        <item x="58"/>
        <item x="46"/>
        <item x="12"/>
        <item x="334"/>
        <item x="245"/>
        <item x="22"/>
        <item x="472"/>
        <item x="494"/>
        <item x="101"/>
        <item x="365"/>
        <item x="145"/>
        <item x="463"/>
        <item x="90"/>
        <item x="119"/>
        <item x="322"/>
        <item x="195"/>
        <item x="280"/>
        <item x="96"/>
        <item x="338"/>
        <item x="43"/>
        <item x="457"/>
        <item x="311"/>
        <item x="15"/>
        <item x="313"/>
        <item x="156"/>
        <item x="284"/>
        <item x="209"/>
        <item x="271"/>
        <item x="392"/>
        <item x="0"/>
        <item x="110"/>
        <item x="353"/>
        <item x="24"/>
        <item x="415"/>
        <item x="339"/>
        <item x="68"/>
        <item x="259"/>
        <item x="288"/>
        <item x="475"/>
        <item x="207"/>
        <item x="309"/>
        <item x="466"/>
        <item x="211"/>
        <item x="74"/>
        <item x="364"/>
        <item x="150"/>
        <item x="140"/>
        <item x="488"/>
        <item x="426"/>
        <item x="151"/>
        <item x="430"/>
        <item x="144"/>
        <item x="163"/>
        <item x="102"/>
        <item x="183"/>
        <item x="352"/>
        <item x="310"/>
        <item x="348"/>
        <item x="429"/>
        <item x="474"/>
        <item x="35"/>
        <item x="138"/>
        <item x="401"/>
        <item x="113"/>
        <item x="328"/>
        <item x="263"/>
        <item x="222"/>
        <item x="203"/>
        <item x="173"/>
        <item x="177"/>
        <item x="237"/>
        <item x="299"/>
        <item x="204"/>
        <item x="157"/>
        <item x="362"/>
        <item x="219"/>
        <item x="228"/>
        <item x="255"/>
        <item x="285"/>
        <item x="235"/>
        <item x="469"/>
        <item x="170"/>
        <item x="199"/>
        <item x="423"/>
        <item x="221"/>
        <item x="492"/>
        <item x="63"/>
        <item x="69"/>
        <item x="13"/>
        <item x="213"/>
        <item x="2"/>
        <item x="123"/>
        <item x="232"/>
        <item x="363"/>
        <item x="447"/>
        <item x="403"/>
        <item x="301"/>
        <item x="166"/>
        <item x="227"/>
        <item x="104"/>
        <item x="31"/>
        <item x="167"/>
        <item x="39"/>
        <item x="407"/>
        <item x="54"/>
        <item x="455"/>
        <item x="281"/>
        <item x="315"/>
        <item x="453"/>
        <item x="269"/>
        <item x="250"/>
        <item x="268"/>
        <item x="10"/>
        <item x="155"/>
        <item x="433"/>
        <item x="498"/>
        <item x="129"/>
        <item x="491"/>
        <item x="454"/>
        <item x="335"/>
        <item x="212"/>
        <item x="246"/>
        <item x="448"/>
        <item x="122"/>
        <item x="495"/>
        <item x="80"/>
        <item x="487"/>
        <item x="124"/>
        <item x="343"/>
        <item x="376"/>
        <item x="257"/>
        <item t="default"/>
      </items>
    </pivotField>
    <pivotField showAll="0"/>
    <pivotField showAll="0">
      <items count="11">
        <item x="8"/>
        <item x="6"/>
        <item x="9"/>
        <item x="2"/>
        <item x="5"/>
        <item x="4"/>
        <item x="0"/>
        <item x="3"/>
        <item x="7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14">
        <item x="12"/>
        <item x="11"/>
        <item x="6"/>
        <item x="10"/>
        <item x="7"/>
        <item x="2"/>
        <item x="4"/>
        <item x="3"/>
        <item x="1"/>
        <item x="5"/>
        <item x="8"/>
        <item x="9"/>
        <item x="0"/>
        <item t="default"/>
      </items>
    </pivotField>
    <pivotField showAll="0"/>
    <pivotField showAll="0"/>
    <pivotField showAll="0"/>
    <pivotField dataField="1" showAll="0">
      <items count="43">
        <item x="27"/>
        <item x="19"/>
        <item x="21"/>
        <item x="3"/>
        <item x="35"/>
        <item x="4"/>
        <item x="2"/>
        <item x="25"/>
        <item x="7"/>
        <item x="36"/>
        <item x="24"/>
        <item x="0"/>
        <item x="10"/>
        <item x="23"/>
        <item x="1"/>
        <item x="12"/>
        <item x="8"/>
        <item x="29"/>
        <item x="17"/>
        <item x="5"/>
        <item x="26"/>
        <item x="20"/>
        <item x="11"/>
        <item x="22"/>
        <item x="28"/>
        <item x="9"/>
        <item x="14"/>
        <item x="13"/>
        <item x="32"/>
        <item x="16"/>
        <item x="18"/>
        <item x="30"/>
        <item x="31"/>
        <item x="37"/>
        <item x="6"/>
        <item x="34"/>
        <item x="15"/>
        <item x="41"/>
        <item x="38"/>
        <item x="33"/>
        <item x="40"/>
        <item x="39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Page" showAll="0">
      <items count="5">
        <item x="0"/>
        <item x="3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3" hier="-1"/>
  </pageFields>
  <dataFields count="1">
    <dataField name="Ticket Médio" fld="9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5A699-DC50-4FBB-8190-D72D9F6EBB80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Meses">
  <location ref="J10:K18" firstHeaderRow="1" firstDataRow="1" firstDataCol="1"/>
  <pivotFields count="16">
    <pivotField showAll="0"/>
    <pivotField numFmtId="22" showAll="0">
      <items count="501">
        <item x="253"/>
        <item x="137"/>
        <item x="59"/>
        <item x="159"/>
        <item x="8"/>
        <item x="38"/>
        <item x="333"/>
        <item x="306"/>
        <item x="350"/>
        <item x="372"/>
        <item x="332"/>
        <item x="267"/>
        <item x="121"/>
        <item x="185"/>
        <item x="317"/>
        <item x="420"/>
        <item x="416"/>
        <item x="4"/>
        <item x="366"/>
        <item x="340"/>
        <item x="133"/>
        <item x="303"/>
        <item x="312"/>
        <item x="439"/>
        <item x="465"/>
        <item x="109"/>
        <item x="236"/>
        <item x="17"/>
        <item x="154"/>
        <item x="386"/>
        <item x="425"/>
        <item x="161"/>
        <item x="243"/>
        <item x="424"/>
        <item x="192"/>
        <item x="84"/>
        <item x="77"/>
        <item x="60"/>
        <item x="369"/>
        <item x="388"/>
        <item x="249"/>
        <item x="391"/>
        <item x="174"/>
        <item x="383"/>
        <item x="419"/>
        <item x="139"/>
        <item x="458"/>
        <item x="50"/>
        <item x="374"/>
        <item x="87"/>
        <item x="193"/>
        <item x="390"/>
        <item x="256"/>
        <item x="326"/>
        <item x="242"/>
        <item x="440"/>
        <item x="49"/>
        <item x="18"/>
        <item x="321"/>
        <item x="402"/>
        <item x="244"/>
        <item x="186"/>
        <item x="152"/>
        <item x="75"/>
        <item x="341"/>
        <item x="314"/>
        <item x="108"/>
        <item x="476"/>
        <item x="395"/>
        <item x="233"/>
        <item x="368"/>
        <item x="305"/>
        <item x="238"/>
        <item x="409"/>
        <item x="330"/>
        <item x="445"/>
        <item x="411"/>
        <item x="34"/>
        <item x="47"/>
        <item x="241"/>
        <item x="358"/>
        <item x="287"/>
        <item x="370"/>
        <item x="51"/>
        <item x="482"/>
        <item x="379"/>
        <item x="98"/>
        <item x="480"/>
        <item x="489"/>
        <item x="94"/>
        <item x="103"/>
        <item x="172"/>
        <item x="486"/>
        <item x="260"/>
        <item x="323"/>
        <item x="418"/>
        <item x="377"/>
        <item x="319"/>
        <item x="291"/>
        <item x="307"/>
        <item x="44"/>
        <item x="410"/>
        <item x="41"/>
        <item x="120"/>
        <item x="490"/>
        <item x="23"/>
        <item x="345"/>
        <item x="52"/>
        <item x="198"/>
        <item x="470"/>
        <item x="378"/>
        <item x="252"/>
        <item x="132"/>
        <item x="217"/>
        <item x="240"/>
        <item x="65"/>
        <item x="230"/>
        <item x="452"/>
        <item x="329"/>
        <item x="432"/>
        <item x="176"/>
        <item x="106"/>
        <item x="117"/>
        <item x="21"/>
        <item x="147"/>
        <item x="27"/>
        <item x="371"/>
        <item x="82"/>
        <item x="421"/>
        <item x="160"/>
        <item x="224"/>
        <item x="7"/>
        <item x="336"/>
        <item x="356"/>
        <item x="127"/>
        <item x="57"/>
        <item x="153"/>
        <item x="375"/>
        <item x="300"/>
        <item x="354"/>
        <item x="5"/>
        <item x="451"/>
        <item x="360"/>
        <item x="48"/>
        <item x="169"/>
        <item x="214"/>
        <item x="373"/>
        <item x="158"/>
        <item x="99"/>
        <item x="215"/>
        <item x="64"/>
        <item x="70"/>
        <item x="194"/>
        <item x="89"/>
        <item x="229"/>
        <item x="337"/>
        <item x="136"/>
        <item x="400"/>
        <item x="324"/>
        <item x="92"/>
        <item x="218"/>
        <item x="381"/>
        <item x="251"/>
        <item x="30"/>
        <item x="294"/>
        <item x="264"/>
        <item x="1"/>
        <item x="293"/>
        <item x="168"/>
        <item x="459"/>
        <item x="270"/>
        <item x="190"/>
        <item x="72"/>
        <item x="62"/>
        <item x="477"/>
        <item x="473"/>
        <item x="105"/>
        <item x="462"/>
        <item x="275"/>
        <item x="79"/>
        <item x="262"/>
        <item x="408"/>
        <item x="254"/>
        <item x="442"/>
        <item x="434"/>
        <item x="346"/>
        <item x="318"/>
        <item x="179"/>
        <item x="295"/>
        <item x="359"/>
        <item x="225"/>
        <item x="261"/>
        <item x="200"/>
        <item x="484"/>
        <item x="496"/>
        <item x="481"/>
        <item x="201"/>
        <item x="95"/>
        <item x="28"/>
        <item x="93"/>
        <item x="26"/>
        <item x="399"/>
        <item x="164"/>
        <item x="273"/>
        <item x="277"/>
        <item x="25"/>
        <item x="443"/>
        <item x="189"/>
        <item x="142"/>
        <item x="131"/>
        <item x="61"/>
        <item x="304"/>
        <item x="274"/>
        <item x="478"/>
        <item x="171"/>
        <item x="216"/>
        <item x="417"/>
        <item x="308"/>
        <item x="40"/>
        <item x="422"/>
        <item x="9"/>
        <item x="485"/>
        <item x="134"/>
        <item x="297"/>
        <item x="428"/>
        <item x="126"/>
        <item x="479"/>
        <item x="450"/>
        <item x="438"/>
        <item x="118"/>
        <item x="234"/>
        <item x="116"/>
        <item x="349"/>
        <item x="20"/>
        <item x="493"/>
        <item x="412"/>
        <item x="497"/>
        <item x="114"/>
        <item x="14"/>
        <item x="11"/>
        <item x="19"/>
        <item x="188"/>
        <item x="178"/>
        <item x="436"/>
        <item x="393"/>
        <item x="36"/>
        <item x="302"/>
        <item x="78"/>
        <item x="202"/>
        <item x="431"/>
        <item x="29"/>
        <item x="128"/>
        <item x="32"/>
        <item x="398"/>
        <item x="55"/>
        <item x="88"/>
        <item x="279"/>
        <item x="397"/>
        <item x="406"/>
        <item x="342"/>
        <item x="427"/>
        <item x="382"/>
        <item x="258"/>
        <item x="53"/>
        <item x="389"/>
        <item x="248"/>
        <item x="206"/>
        <item x="115"/>
        <item x="266"/>
        <item x="66"/>
        <item x="396"/>
        <item x="210"/>
        <item x="265"/>
        <item x="471"/>
        <item x="283"/>
        <item x="100"/>
        <item x="316"/>
        <item x="367"/>
        <item x="247"/>
        <item x="73"/>
        <item x="111"/>
        <item x="223"/>
        <item x="71"/>
        <item x="456"/>
        <item x="461"/>
        <item x="468"/>
        <item x="276"/>
        <item x="162"/>
        <item x="298"/>
        <item x="351"/>
        <item x="361"/>
        <item x="394"/>
        <item x="444"/>
        <item x="387"/>
        <item x="187"/>
        <item x="357"/>
        <item x="464"/>
        <item x="67"/>
        <item x="347"/>
        <item x="184"/>
        <item x="197"/>
        <item x="325"/>
        <item x="148"/>
        <item x="191"/>
        <item x="125"/>
        <item x="290"/>
        <item x="272"/>
        <item x="239"/>
        <item x="196"/>
        <item x="182"/>
        <item x="81"/>
        <item x="181"/>
        <item x="76"/>
        <item x="208"/>
        <item x="296"/>
        <item x="435"/>
        <item x="467"/>
        <item x="42"/>
        <item x="385"/>
        <item x="499"/>
        <item x="85"/>
        <item x="437"/>
        <item x="460"/>
        <item x="141"/>
        <item x="107"/>
        <item x="86"/>
        <item x="135"/>
        <item x="292"/>
        <item x="289"/>
        <item x="483"/>
        <item x="130"/>
        <item x="149"/>
        <item x="33"/>
        <item x="278"/>
        <item x="384"/>
        <item x="220"/>
        <item x="56"/>
        <item x="446"/>
        <item x="37"/>
        <item x="344"/>
        <item x="449"/>
        <item x="231"/>
        <item x="97"/>
        <item x="180"/>
        <item x="83"/>
        <item x="175"/>
        <item x="45"/>
        <item x="3"/>
        <item x="146"/>
        <item x="282"/>
        <item x="165"/>
        <item x="143"/>
        <item x="286"/>
        <item x="226"/>
        <item x="404"/>
        <item x="112"/>
        <item x="6"/>
        <item x="355"/>
        <item x="405"/>
        <item x="414"/>
        <item x="205"/>
        <item x="320"/>
        <item x="413"/>
        <item x="441"/>
        <item x="16"/>
        <item x="331"/>
        <item x="91"/>
        <item x="327"/>
        <item x="380"/>
        <item x="58"/>
        <item x="46"/>
        <item x="12"/>
        <item x="334"/>
        <item x="245"/>
        <item x="22"/>
        <item x="472"/>
        <item x="494"/>
        <item x="101"/>
        <item x="365"/>
        <item x="145"/>
        <item x="463"/>
        <item x="90"/>
        <item x="119"/>
        <item x="322"/>
        <item x="195"/>
        <item x="280"/>
        <item x="96"/>
        <item x="338"/>
        <item x="43"/>
        <item x="457"/>
        <item x="311"/>
        <item x="15"/>
        <item x="313"/>
        <item x="156"/>
        <item x="284"/>
        <item x="209"/>
        <item x="271"/>
        <item x="392"/>
        <item x="0"/>
        <item x="110"/>
        <item x="353"/>
        <item x="24"/>
        <item x="415"/>
        <item x="339"/>
        <item x="68"/>
        <item x="259"/>
        <item x="288"/>
        <item x="475"/>
        <item x="207"/>
        <item x="309"/>
        <item x="466"/>
        <item x="211"/>
        <item x="74"/>
        <item x="364"/>
        <item x="150"/>
        <item x="140"/>
        <item x="488"/>
        <item x="426"/>
        <item x="151"/>
        <item x="430"/>
        <item x="144"/>
        <item x="163"/>
        <item x="102"/>
        <item x="183"/>
        <item x="352"/>
        <item x="310"/>
        <item x="348"/>
        <item x="429"/>
        <item x="474"/>
        <item x="35"/>
        <item x="138"/>
        <item x="401"/>
        <item x="113"/>
        <item x="328"/>
        <item x="263"/>
        <item x="222"/>
        <item x="203"/>
        <item x="173"/>
        <item x="177"/>
        <item x="237"/>
        <item x="299"/>
        <item x="204"/>
        <item x="157"/>
        <item x="362"/>
        <item x="219"/>
        <item x="228"/>
        <item x="255"/>
        <item x="285"/>
        <item x="235"/>
        <item x="469"/>
        <item x="170"/>
        <item x="199"/>
        <item x="423"/>
        <item x="221"/>
        <item x="492"/>
        <item x="63"/>
        <item x="69"/>
        <item x="13"/>
        <item x="213"/>
        <item x="2"/>
        <item x="123"/>
        <item x="232"/>
        <item x="363"/>
        <item x="447"/>
        <item x="403"/>
        <item x="301"/>
        <item x="166"/>
        <item x="227"/>
        <item x="104"/>
        <item x="31"/>
        <item x="167"/>
        <item x="39"/>
        <item x="407"/>
        <item x="54"/>
        <item x="455"/>
        <item x="281"/>
        <item x="315"/>
        <item x="453"/>
        <item x="269"/>
        <item x="250"/>
        <item x="268"/>
        <item x="10"/>
        <item x="155"/>
        <item x="433"/>
        <item x="498"/>
        <item x="129"/>
        <item x="491"/>
        <item x="454"/>
        <item x="335"/>
        <item x="212"/>
        <item x="246"/>
        <item x="448"/>
        <item x="122"/>
        <item x="495"/>
        <item x="80"/>
        <item x="487"/>
        <item x="124"/>
        <item x="343"/>
        <item x="376"/>
        <item x="257"/>
        <item t="default"/>
      </items>
    </pivotField>
    <pivotField showAll="0"/>
    <pivotField showAll="0">
      <items count="11">
        <item x="8"/>
        <item x="6"/>
        <item x="9"/>
        <item x="2"/>
        <item x="5"/>
        <item x="4"/>
        <item x="0"/>
        <item x="3"/>
        <item x="7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14">
        <item x="12"/>
        <item x="11"/>
        <item x="6"/>
        <item x="10"/>
        <item x="7"/>
        <item x="2"/>
        <item x="4"/>
        <item x="3"/>
        <item x="1"/>
        <item x="5"/>
        <item x="8"/>
        <item x="9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2"/>
        <item x="0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8"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Lucro Mensal" fld="11" baseField="15" baseItem="4" numFmtId="4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0B1B2-8627-4D26-B9F4-E70C081AEE3D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Status">
  <location ref="E15:G30" firstHeaderRow="0" firstDataRow="1" firstDataCol="1"/>
  <pivotFields count="16">
    <pivotField showAll="0"/>
    <pivotField numFmtId="22" showAll="0">
      <items count="501">
        <item x="253"/>
        <item x="137"/>
        <item x="59"/>
        <item x="159"/>
        <item x="8"/>
        <item x="38"/>
        <item x="333"/>
        <item x="306"/>
        <item x="350"/>
        <item x="372"/>
        <item x="332"/>
        <item x="267"/>
        <item x="121"/>
        <item x="185"/>
        <item x="317"/>
        <item x="420"/>
        <item x="416"/>
        <item x="4"/>
        <item x="366"/>
        <item x="340"/>
        <item x="133"/>
        <item x="303"/>
        <item x="312"/>
        <item x="439"/>
        <item x="465"/>
        <item x="109"/>
        <item x="236"/>
        <item x="17"/>
        <item x="154"/>
        <item x="386"/>
        <item x="425"/>
        <item x="161"/>
        <item x="243"/>
        <item x="424"/>
        <item x="192"/>
        <item x="84"/>
        <item x="77"/>
        <item x="60"/>
        <item x="369"/>
        <item x="388"/>
        <item x="249"/>
        <item x="391"/>
        <item x="174"/>
        <item x="383"/>
        <item x="419"/>
        <item x="139"/>
        <item x="458"/>
        <item x="50"/>
        <item x="374"/>
        <item x="87"/>
        <item x="193"/>
        <item x="390"/>
        <item x="256"/>
        <item x="326"/>
        <item x="242"/>
        <item x="440"/>
        <item x="49"/>
        <item x="18"/>
        <item x="321"/>
        <item x="402"/>
        <item x="244"/>
        <item x="186"/>
        <item x="152"/>
        <item x="75"/>
        <item x="341"/>
        <item x="314"/>
        <item x="108"/>
        <item x="476"/>
        <item x="395"/>
        <item x="233"/>
        <item x="368"/>
        <item x="305"/>
        <item x="238"/>
        <item x="409"/>
        <item x="330"/>
        <item x="445"/>
        <item x="411"/>
        <item x="34"/>
        <item x="47"/>
        <item x="241"/>
        <item x="358"/>
        <item x="287"/>
        <item x="370"/>
        <item x="51"/>
        <item x="482"/>
        <item x="379"/>
        <item x="98"/>
        <item x="480"/>
        <item x="489"/>
        <item x="94"/>
        <item x="103"/>
        <item x="172"/>
        <item x="486"/>
        <item x="260"/>
        <item x="323"/>
        <item x="418"/>
        <item x="377"/>
        <item x="319"/>
        <item x="291"/>
        <item x="307"/>
        <item x="44"/>
        <item x="410"/>
        <item x="41"/>
        <item x="120"/>
        <item x="490"/>
        <item x="23"/>
        <item x="345"/>
        <item x="52"/>
        <item x="198"/>
        <item x="470"/>
        <item x="378"/>
        <item x="252"/>
        <item x="132"/>
        <item x="217"/>
        <item x="240"/>
        <item x="65"/>
        <item x="230"/>
        <item x="452"/>
        <item x="329"/>
        <item x="432"/>
        <item x="176"/>
        <item x="106"/>
        <item x="117"/>
        <item x="21"/>
        <item x="147"/>
        <item x="27"/>
        <item x="371"/>
        <item x="82"/>
        <item x="421"/>
        <item x="160"/>
        <item x="224"/>
        <item x="7"/>
        <item x="336"/>
        <item x="356"/>
        <item x="127"/>
        <item x="57"/>
        <item x="153"/>
        <item x="375"/>
        <item x="300"/>
        <item x="354"/>
        <item x="5"/>
        <item x="451"/>
        <item x="360"/>
        <item x="48"/>
        <item x="169"/>
        <item x="214"/>
        <item x="373"/>
        <item x="158"/>
        <item x="99"/>
        <item x="215"/>
        <item x="64"/>
        <item x="70"/>
        <item x="194"/>
        <item x="89"/>
        <item x="229"/>
        <item x="337"/>
        <item x="136"/>
        <item x="400"/>
        <item x="324"/>
        <item x="92"/>
        <item x="218"/>
        <item x="381"/>
        <item x="251"/>
        <item x="30"/>
        <item x="294"/>
        <item x="264"/>
        <item x="1"/>
        <item x="293"/>
        <item x="168"/>
        <item x="459"/>
        <item x="270"/>
        <item x="190"/>
        <item x="72"/>
        <item x="62"/>
        <item x="477"/>
        <item x="473"/>
        <item x="105"/>
        <item x="462"/>
        <item x="275"/>
        <item x="79"/>
        <item x="262"/>
        <item x="408"/>
        <item x="254"/>
        <item x="442"/>
        <item x="434"/>
        <item x="346"/>
        <item x="318"/>
        <item x="179"/>
        <item x="295"/>
        <item x="359"/>
        <item x="225"/>
        <item x="261"/>
        <item x="200"/>
        <item x="484"/>
        <item x="496"/>
        <item x="481"/>
        <item x="201"/>
        <item x="95"/>
        <item x="28"/>
        <item x="93"/>
        <item x="26"/>
        <item x="399"/>
        <item x="164"/>
        <item x="273"/>
        <item x="277"/>
        <item x="25"/>
        <item x="443"/>
        <item x="189"/>
        <item x="142"/>
        <item x="131"/>
        <item x="61"/>
        <item x="304"/>
        <item x="274"/>
        <item x="478"/>
        <item x="171"/>
        <item x="216"/>
        <item x="417"/>
        <item x="308"/>
        <item x="40"/>
        <item x="422"/>
        <item x="9"/>
        <item x="485"/>
        <item x="134"/>
        <item x="297"/>
        <item x="428"/>
        <item x="126"/>
        <item x="479"/>
        <item x="450"/>
        <item x="438"/>
        <item x="118"/>
        <item x="234"/>
        <item x="116"/>
        <item x="349"/>
        <item x="20"/>
        <item x="493"/>
        <item x="412"/>
        <item x="497"/>
        <item x="114"/>
        <item x="14"/>
        <item x="11"/>
        <item x="19"/>
        <item x="188"/>
        <item x="178"/>
        <item x="436"/>
        <item x="393"/>
        <item x="36"/>
        <item x="302"/>
        <item x="78"/>
        <item x="202"/>
        <item x="431"/>
        <item x="29"/>
        <item x="128"/>
        <item x="32"/>
        <item x="398"/>
        <item x="55"/>
        <item x="88"/>
        <item x="279"/>
        <item x="397"/>
        <item x="406"/>
        <item x="342"/>
        <item x="427"/>
        <item x="382"/>
        <item x="258"/>
        <item x="53"/>
        <item x="389"/>
        <item x="248"/>
        <item x="206"/>
        <item x="115"/>
        <item x="266"/>
        <item x="66"/>
        <item x="396"/>
        <item x="210"/>
        <item x="265"/>
        <item x="471"/>
        <item x="283"/>
        <item x="100"/>
        <item x="316"/>
        <item x="367"/>
        <item x="247"/>
        <item x="73"/>
        <item x="111"/>
        <item x="223"/>
        <item x="71"/>
        <item x="456"/>
        <item x="461"/>
        <item x="468"/>
        <item x="276"/>
        <item x="162"/>
        <item x="298"/>
        <item x="351"/>
        <item x="361"/>
        <item x="394"/>
        <item x="444"/>
        <item x="387"/>
        <item x="187"/>
        <item x="357"/>
        <item x="464"/>
        <item x="67"/>
        <item x="347"/>
        <item x="184"/>
        <item x="197"/>
        <item x="325"/>
        <item x="148"/>
        <item x="191"/>
        <item x="125"/>
        <item x="290"/>
        <item x="272"/>
        <item x="239"/>
        <item x="196"/>
        <item x="182"/>
        <item x="81"/>
        <item x="181"/>
        <item x="76"/>
        <item x="208"/>
        <item x="296"/>
        <item x="435"/>
        <item x="467"/>
        <item x="42"/>
        <item x="385"/>
        <item x="499"/>
        <item x="85"/>
        <item x="437"/>
        <item x="460"/>
        <item x="141"/>
        <item x="107"/>
        <item x="86"/>
        <item x="135"/>
        <item x="292"/>
        <item x="289"/>
        <item x="483"/>
        <item x="130"/>
        <item x="149"/>
        <item x="33"/>
        <item x="278"/>
        <item x="384"/>
        <item x="220"/>
        <item x="56"/>
        <item x="446"/>
        <item x="37"/>
        <item x="344"/>
        <item x="449"/>
        <item x="231"/>
        <item x="97"/>
        <item x="180"/>
        <item x="83"/>
        <item x="175"/>
        <item x="45"/>
        <item x="3"/>
        <item x="146"/>
        <item x="282"/>
        <item x="165"/>
        <item x="143"/>
        <item x="286"/>
        <item x="226"/>
        <item x="404"/>
        <item x="112"/>
        <item x="6"/>
        <item x="355"/>
        <item x="405"/>
        <item x="414"/>
        <item x="205"/>
        <item x="320"/>
        <item x="413"/>
        <item x="441"/>
        <item x="16"/>
        <item x="331"/>
        <item x="91"/>
        <item x="327"/>
        <item x="380"/>
        <item x="58"/>
        <item x="46"/>
        <item x="12"/>
        <item x="334"/>
        <item x="245"/>
        <item x="22"/>
        <item x="472"/>
        <item x="494"/>
        <item x="101"/>
        <item x="365"/>
        <item x="145"/>
        <item x="463"/>
        <item x="90"/>
        <item x="119"/>
        <item x="322"/>
        <item x="195"/>
        <item x="280"/>
        <item x="96"/>
        <item x="338"/>
        <item x="43"/>
        <item x="457"/>
        <item x="311"/>
        <item x="15"/>
        <item x="313"/>
        <item x="156"/>
        <item x="284"/>
        <item x="209"/>
        <item x="271"/>
        <item x="392"/>
        <item x="0"/>
        <item x="110"/>
        <item x="353"/>
        <item x="24"/>
        <item x="415"/>
        <item x="339"/>
        <item x="68"/>
        <item x="259"/>
        <item x="288"/>
        <item x="475"/>
        <item x="207"/>
        <item x="309"/>
        <item x="466"/>
        <item x="211"/>
        <item x="74"/>
        <item x="364"/>
        <item x="150"/>
        <item x="140"/>
        <item x="488"/>
        <item x="426"/>
        <item x="151"/>
        <item x="430"/>
        <item x="144"/>
        <item x="163"/>
        <item x="102"/>
        <item x="183"/>
        <item x="352"/>
        <item x="310"/>
        <item x="348"/>
        <item x="429"/>
        <item x="474"/>
        <item x="35"/>
        <item x="138"/>
        <item x="401"/>
        <item x="113"/>
        <item x="328"/>
        <item x="263"/>
        <item x="222"/>
        <item x="203"/>
        <item x="173"/>
        <item x="177"/>
        <item x="237"/>
        <item x="299"/>
        <item x="204"/>
        <item x="157"/>
        <item x="362"/>
        <item x="219"/>
        <item x="228"/>
        <item x="255"/>
        <item x="285"/>
        <item x="235"/>
        <item x="469"/>
        <item x="170"/>
        <item x="199"/>
        <item x="423"/>
        <item x="221"/>
        <item x="492"/>
        <item x="63"/>
        <item x="69"/>
        <item x="13"/>
        <item x="213"/>
        <item x="2"/>
        <item x="123"/>
        <item x="232"/>
        <item x="363"/>
        <item x="447"/>
        <item x="403"/>
        <item x="301"/>
        <item x="166"/>
        <item x="227"/>
        <item x="104"/>
        <item x="31"/>
        <item x="167"/>
        <item x="39"/>
        <item x="407"/>
        <item x="54"/>
        <item x="455"/>
        <item x="281"/>
        <item x="315"/>
        <item x="453"/>
        <item x="269"/>
        <item x="250"/>
        <item x="268"/>
        <item x="10"/>
        <item x="155"/>
        <item x="433"/>
        <item x="498"/>
        <item x="129"/>
        <item x="491"/>
        <item x="454"/>
        <item x="335"/>
        <item x="212"/>
        <item x="246"/>
        <item x="448"/>
        <item x="122"/>
        <item x="495"/>
        <item x="80"/>
        <item x="487"/>
        <item x="124"/>
        <item x="343"/>
        <item x="376"/>
        <item x="257"/>
        <item t="default"/>
      </items>
    </pivotField>
    <pivotField showAll="0"/>
    <pivotField showAll="0">
      <items count="11">
        <item x="8"/>
        <item x="6"/>
        <item x="9"/>
        <item x="2"/>
        <item x="5"/>
        <item x="4"/>
        <item x="0"/>
        <item x="3"/>
        <item x="7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14">
        <item x="12"/>
        <item x="11"/>
        <item x="6"/>
        <item x="10"/>
        <item x="7"/>
        <item x="2"/>
        <item x="4"/>
        <item x="3"/>
        <item x="1"/>
        <item x="5"/>
        <item x="8"/>
        <item x="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Row" dataField="1" showAll="0">
      <items count="5">
        <item x="0"/>
        <item x="3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3"/>
    <field x="12"/>
  </rowFields>
  <rowItems count="1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Status" fld="13" subtotal="count" baseField="13" baseItem="0"/>
    <dataField name="% dos pedidos" fld="13" subtotal="count" showDataAs="percentOfTotal" baseField="13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7C143-E45B-495A-B641-B3FBD17B42F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6:C54" firstHeaderRow="0" firstDataRow="1" firstDataCol="1" rowPageCount="1" colPageCount="1"/>
  <pivotFields count="16">
    <pivotField showAll="0"/>
    <pivotField numFmtId="22" showAll="0">
      <items count="501">
        <item x="253"/>
        <item x="137"/>
        <item x="59"/>
        <item x="159"/>
        <item x="8"/>
        <item x="38"/>
        <item x="333"/>
        <item x="306"/>
        <item x="350"/>
        <item x="372"/>
        <item x="332"/>
        <item x="267"/>
        <item x="121"/>
        <item x="185"/>
        <item x="317"/>
        <item x="420"/>
        <item x="416"/>
        <item x="4"/>
        <item x="366"/>
        <item x="340"/>
        <item x="133"/>
        <item x="303"/>
        <item x="312"/>
        <item x="439"/>
        <item x="465"/>
        <item x="109"/>
        <item x="236"/>
        <item x="17"/>
        <item x="154"/>
        <item x="386"/>
        <item x="425"/>
        <item x="161"/>
        <item x="243"/>
        <item x="424"/>
        <item x="192"/>
        <item x="84"/>
        <item x="77"/>
        <item x="60"/>
        <item x="369"/>
        <item x="388"/>
        <item x="249"/>
        <item x="391"/>
        <item x="174"/>
        <item x="383"/>
        <item x="419"/>
        <item x="139"/>
        <item x="458"/>
        <item x="50"/>
        <item x="374"/>
        <item x="87"/>
        <item x="193"/>
        <item x="390"/>
        <item x="256"/>
        <item x="326"/>
        <item x="242"/>
        <item x="440"/>
        <item x="49"/>
        <item x="18"/>
        <item x="321"/>
        <item x="402"/>
        <item x="244"/>
        <item x="186"/>
        <item x="152"/>
        <item x="75"/>
        <item x="341"/>
        <item x="314"/>
        <item x="108"/>
        <item x="476"/>
        <item x="395"/>
        <item x="233"/>
        <item x="368"/>
        <item x="305"/>
        <item x="238"/>
        <item x="409"/>
        <item x="330"/>
        <item x="445"/>
        <item x="411"/>
        <item x="34"/>
        <item x="47"/>
        <item x="241"/>
        <item x="358"/>
        <item x="287"/>
        <item x="370"/>
        <item x="51"/>
        <item x="482"/>
        <item x="379"/>
        <item x="98"/>
        <item x="480"/>
        <item x="489"/>
        <item x="94"/>
        <item x="103"/>
        <item x="172"/>
        <item x="486"/>
        <item x="260"/>
        <item x="323"/>
        <item x="418"/>
        <item x="377"/>
        <item x="319"/>
        <item x="291"/>
        <item x="307"/>
        <item x="44"/>
        <item x="410"/>
        <item x="41"/>
        <item x="120"/>
        <item x="490"/>
        <item x="23"/>
        <item x="345"/>
        <item x="52"/>
        <item x="198"/>
        <item x="470"/>
        <item x="378"/>
        <item x="252"/>
        <item x="132"/>
        <item x="217"/>
        <item x="240"/>
        <item x="65"/>
        <item x="230"/>
        <item x="452"/>
        <item x="329"/>
        <item x="432"/>
        <item x="176"/>
        <item x="106"/>
        <item x="117"/>
        <item x="21"/>
        <item x="147"/>
        <item x="27"/>
        <item x="371"/>
        <item x="82"/>
        <item x="421"/>
        <item x="160"/>
        <item x="224"/>
        <item x="7"/>
        <item x="336"/>
        <item x="356"/>
        <item x="127"/>
        <item x="57"/>
        <item x="153"/>
        <item x="375"/>
        <item x="300"/>
        <item x="354"/>
        <item x="5"/>
        <item x="451"/>
        <item x="360"/>
        <item x="48"/>
        <item x="169"/>
        <item x="214"/>
        <item x="373"/>
        <item x="158"/>
        <item x="99"/>
        <item x="215"/>
        <item x="64"/>
        <item x="70"/>
        <item x="194"/>
        <item x="89"/>
        <item x="229"/>
        <item x="337"/>
        <item x="136"/>
        <item x="400"/>
        <item x="324"/>
        <item x="92"/>
        <item x="218"/>
        <item x="381"/>
        <item x="251"/>
        <item x="30"/>
        <item x="294"/>
        <item x="264"/>
        <item x="1"/>
        <item x="293"/>
        <item x="168"/>
        <item x="459"/>
        <item x="270"/>
        <item x="190"/>
        <item x="72"/>
        <item x="62"/>
        <item x="477"/>
        <item x="473"/>
        <item x="105"/>
        <item x="462"/>
        <item x="275"/>
        <item x="79"/>
        <item x="262"/>
        <item x="408"/>
        <item x="254"/>
        <item x="442"/>
        <item x="434"/>
        <item x="346"/>
        <item x="318"/>
        <item x="179"/>
        <item x="295"/>
        <item x="359"/>
        <item x="225"/>
        <item x="261"/>
        <item x="200"/>
        <item x="484"/>
        <item x="496"/>
        <item x="481"/>
        <item x="201"/>
        <item x="95"/>
        <item x="28"/>
        <item x="93"/>
        <item x="26"/>
        <item x="399"/>
        <item x="164"/>
        <item x="273"/>
        <item x="277"/>
        <item x="25"/>
        <item x="443"/>
        <item x="189"/>
        <item x="142"/>
        <item x="131"/>
        <item x="61"/>
        <item x="304"/>
        <item x="274"/>
        <item x="478"/>
        <item x="171"/>
        <item x="216"/>
        <item x="417"/>
        <item x="308"/>
        <item x="40"/>
        <item x="422"/>
        <item x="9"/>
        <item x="485"/>
        <item x="134"/>
        <item x="297"/>
        <item x="428"/>
        <item x="126"/>
        <item x="479"/>
        <item x="450"/>
        <item x="438"/>
        <item x="118"/>
        <item x="234"/>
        <item x="116"/>
        <item x="349"/>
        <item x="20"/>
        <item x="493"/>
        <item x="412"/>
        <item x="497"/>
        <item x="114"/>
        <item x="14"/>
        <item x="11"/>
        <item x="19"/>
        <item x="188"/>
        <item x="178"/>
        <item x="436"/>
        <item x="393"/>
        <item x="36"/>
        <item x="302"/>
        <item x="78"/>
        <item x="202"/>
        <item x="431"/>
        <item x="29"/>
        <item x="128"/>
        <item x="32"/>
        <item x="398"/>
        <item x="55"/>
        <item x="88"/>
        <item x="279"/>
        <item x="397"/>
        <item x="406"/>
        <item x="342"/>
        <item x="427"/>
        <item x="382"/>
        <item x="258"/>
        <item x="53"/>
        <item x="389"/>
        <item x="248"/>
        <item x="206"/>
        <item x="115"/>
        <item x="266"/>
        <item x="66"/>
        <item x="396"/>
        <item x="210"/>
        <item x="265"/>
        <item x="471"/>
        <item x="283"/>
        <item x="100"/>
        <item x="316"/>
        <item x="367"/>
        <item x="247"/>
        <item x="73"/>
        <item x="111"/>
        <item x="223"/>
        <item x="71"/>
        <item x="456"/>
        <item x="461"/>
        <item x="468"/>
        <item x="276"/>
        <item x="162"/>
        <item x="298"/>
        <item x="351"/>
        <item x="361"/>
        <item x="394"/>
        <item x="444"/>
        <item x="387"/>
        <item x="187"/>
        <item x="357"/>
        <item x="464"/>
        <item x="67"/>
        <item x="347"/>
        <item x="184"/>
        <item x="197"/>
        <item x="325"/>
        <item x="148"/>
        <item x="191"/>
        <item x="125"/>
        <item x="290"/>
        <item x="272"/>
        <item x="239"/>
        <item x="196"/>
        <item x="182"/>
        <item x="81"/>
        <item x="181"/>
        <item x="76"/>
        <item x="208"/>
        <item x="296"/>
        <item x="435"/>
        <item x="467"/>
        <item x="42"/>
        <item x="385"/>
        <item x="499"/>
        <item x="85"/>
        <item x="437"/>
        <item x="460"/>
        <item x="141"/>
        <item x="107"/>
        <item x="86"/>
        <item x="135"/>
        <item x="292"/>
        <item x="289"/>
        <item x="483"/>
        <item x="130"/>
        <item x="149"/>
        <item x="33"/>
        <item x="278"/>
        <item x="384"/>
        <item x="220"/>
        <item x="56"/>
        <item x="446"/>
        <item x="37"/>
        <item x="344"/>
        <item x="449"/>
        <item x="231"/>
        <item x="97"/>
        <item x="180"/>
        <item x="83"/>
        <item x="175"/>
        <item x="45"/>
        <item x="3"/>
        <item x="146"/>
        <item x="282"/>
        <item x="165"/>
        <item x="143"/>
        <item x="286"/>
        <item x="226"/>
        <item x="404"/>
        <item x="112"/>
        <item x="6"/>
        <item x="355"/>
        <item x="405"/>
        <item x="414"/>
        <item x="205"/>
        <item x="320"/>
        <item x="413"/>
        <item x="441"/>
        <item x="16"/>
        <item x="331"/>
        <item x="91"/>
        <item x="327"/>
        <item x="380"/>
        <item x="58"/>
        <item x="46"/>
        <item x="12"/>
        <item x="334"/>
        <item x="245"/>
        <item x="22"/>
        <item x="472"/>
        <item x="494"/>
        <item x="101"/>
        <item x="365"/>
        <item x="145"/>
        <item x="463"/>
        <item x="90"/>
        <item x="119"/>
        <item x="322"/>
        <item x="195"/>
        <item x="280"/>
        <item x="96"/>
        <item x="338"/>
        <item x="43"/>
        <item x="457"/>
        <item x="311"/>
        <item x="15"/>
        <item x="313"/>
        <item x="156"/>
        <item x="284"/>
        <item x="209"/>
        <item x="271"/>
        <item x="392"/>
        <item x="0"/>
        <item x="110"/>
        <item x="353"/>
        <item x="24"/>
        <item x="415"/>
        <item x="339"/>
        <item x="68"/>
        <item x="259"/>
        <item x="288"/>
        <item x="475"/>
        <item x="207"/>
        <item x="309"/>
        <item x="466"/>
        <item x="211"/>
        <item x="74"/>
        <item x="364"/>
        <item x="150"/>
        <item x="140"/>
        <item x="488"/>
        <item x="426"/>
        <item x="151"/>
        <item x="430"/>
        <item x="144"/>
        <item x="163"/>
        <item x="102"/>
        <item x="183"/>
        <item x="352"/>
        <item x="310"/>
        <item x="348"/>
        <item x="429"/>
        <item x="474"/>
        <item x="35"/>
        <item x="138"/>
        <item x="401"/>
        <item x="113"/>
        <item x="328"/>
        <item x="263"/>
        <item x="222"/>
        <item x="203"/>
        <item x="173"/>
        <item x="177"/>
        <item x="237"/>
        <item x="299"/>
        <item x="204"/>
        <item x="157"/>
        <item x="362"/>
        <item x="219"/>
        <item x="228"/>
        <item x="255"/>
        <item x="285"/>
        <item x="235"/>
        <item x="469"/>
        <item x="170"/>
        <item x="199"/>
        <item x="423"/>
        <item x="221"/>
        <item x="492"/>
        <item x="63"/>
        <item x="69"/>
        <item x="13"/>
        <item x="213"/>
        <item x="2"/>
        <item x="123"/>
        <item x="232"/>
        <item x="363"/>
        <item x="447"/>
        <item x="403"/>
        <item x="301"/>
        <item x="166"/>
        <item x="227"/>
        <item x="104"/>
        <item x="31"/>
        <item x="167"/>
        <item x="39"/>
        <item x="407"/>
        <item x="54"/>
        <item x="455"/>
        <item x="281"/>
        <item x="315"/>
        <item x="453"/>
        <item x="269"/>
        <item x="250"/>
        <item x="268"/>
        <item x="10"/>
        <item x="155"/>
        <item x="433"/>
        <item x="498"/>
        <item x="129"/>
        <item x="491"/>
        <item x="454"/>
        <item x="335"/>
        <item x="212"/>
        <item x="246"/>
        <item x="448"/>
        <item x="122"/>
        <item x="495"/>
        <item x="80"/>
        <item x="487"/>
        <item x="124"/>
        <item x="343"/>
        <item x="376"/>
        <item x="257"/>
        <item t="default"/>
      </items>
    </pivotField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14">
        <item x="12"/>
        <item x="11"/>
        <item x="6"/>
        <item x="10"/>
        <item x="7"/>
        <item x="2"/>
        <item x="4"/>
        <item x="3"/>
        <item x="1"/>
        <item x="5"/>
        <item x="8"/>
        <item x="9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3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4"/>
    <field x="5"/>
  </rowFields>
  <rowItems count="18">
    <i>
      <x/>
    </i>
    <i r="1">
      <x/>
    </i>
    <i r="1">
      <x v="1"/>
    </i>
    <i r="1">
      <x v="12"/>
    </i>
    <i>
      <x v="1"/>
    </i>
    <i r="1">
      <x v="2"/>
    </i>
    <i r="1">
      <x v="3"/>
    </i>
    <i r="1">
      <x v="4"/>
    </i>
    <i>
      <x v="2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3" hier="-1"/>
  </pageFields>
  <dataFields count="2">
    <dataField name=" Quantidade" fld="6" baseField="4" baseItem="0"/>
    <dataField name="% dos pedidos totais" fld="6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9CABC-4D0B-48E3-AF13-909F2F4D3A8E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>
  <location ref="E9:G13" firstHeaderRow="0" firstDataRow="1" firstDataCol="1"/>
  <pivotFields count="16">
    <pivotField showAll="0"/>
    <pivotField numFmtId="22" showAll="0">
      <items count="501">
        <item x="253"/>
        <item x="137"/>
        <item x="59"/>
        <item x="159"/>
        <item x="8"/>
        <item x="38"/>
        <item x="333"/>
        <item x="306"/>
        <item x="350"/>
        <item x="372"/>
        <item x="332"/>
        <item x="267"/>
        <item x="121"/>
        <item x="185"/>
        <item x="317"/>
        <item x="420"/>
        <item x="416"/>
        <item x="4"/>
        <item x="366"/>
        <item x="340"/>
        <item x="133"/>
        <item x="303"/>
        <item x="312"/>
        <item x="439"/>
        <item x="465"/>
        <item x="109"/>
        <item x="236"/>
        <item x="17"/>
        <item x="154"/>
        <item x="386"/>
        <item x="425"/>
        <item x="161"/>
        <item x="243"/>
        <item x="424"/>
        <item x="192"/>
        <item x="84"/>
        <item x="77"/>
        <item x="60"/>
        <item x="369"/>
        <item x="388"/>
        <item x="249"/>
        <item x="391"/>
        <item x="174"/>
        <item x="383"/>
        <item x="419"/>
        <item x="139"/>
        <item x="458"/>
        <item x="50"/>
        <item x="374"/>
        <item x="87"/>
        <item x="193"/>
        <item x="390"/>
        <item x="256"/>
        <item x="326"/>
        <item x="242"/>
        <item x="440"/>
        <item x="49"/>
        <item x="18"/>
        <item x="321"/>
        <item x="402"/>
        <item x="244"/>
        <item x="186"/>
        <item x="152"/>
        <item x="75"/>
        <item x="341"/>
        <item x="314"/>
        <item x="108"/>
        <item x="476"/>
        <item x="395"/>
        <item x="233"/>
        <item x="368"/>
        <item x="305"/>
        <item x="238"/>
        <item x="409"/>
        <item x="330"/>
        <item x="445"/>
        <item x="411"/>
        <item x="34"/>
        <item x="47"/>
        <item x="241"/>
        <item x="358"/>
        <item x="287"/>
        <item x="370"/>
        <item x="51"/>
        <item x="482"/>
        <item x="379"/>
        <item x="98"/>
        <item x="480"/>
        <item x="489"/>
        <item x="94"/>
        <item x="103"/>
        <item x="172"/>
        <item x="486"/>
        <item x="260"/>
        <item x="323"/>
        <item x="418"/>
        <item x="377"/>
        <item x="319"/>
        <item x="291"/>
        <item x="307"/>
        <item x="44"/>
        <item x="410"/>
        <item x="41"/>
        <item x="120"/>
        <item x="490"/>
        <item x="23"/>
        <item x="345"/>
        <item x="52"/>
        <item x="198"/>
        <item x="470"/>
        <item x="378"/>
        <item x="252"/>
        <item x="132"/>
        <item x="217"/>
        <item x="240"/>
        <item x="65"/>
        <item x="230"/>
        <item x="452"/>
        <item x="329"/>
        <item x="432"/>
        <item x="176"/>
        <item x="106"/>
        <item x="117"/>
        <item x="21"/>
        <item x="147"/>
        <item x="27"/>
        <item x="371"/>
        <item x="82"/>
        <item x="421"/>
        <item x="160"/>
        <item x="224"/>
        <item x="7"/>
        <item x="336"/>
        <item x="356"/>
        <item x="127"/>
        <item x="57"/>
        <item x="153"/>
        <item x="375"/>
        <item x="300"/>
        <item x="354"/>
        <item x="5"/>
        <item x="451"/>
        <item x="360"/>
        <item x="48"/>
        <item x="169"/>
        <item x="214"/>
        <item x="373"/>
        <item x="158"/>
        <item x="99"/>
        <item x="215"/>
        <item x="64"/>
        <item x="70"/>
        <item x="194"/>
        <item x="89"/>
        <item x="229"/>
        <item x="337"/>
        <item x="136"/>
        <item x="400"/>
        <item x="324"/>
        <item x="92"/>
        <item x="218"/>
        <item x="381"/>
        <item x="251"/>
        <item x="30"/>
        <item x="294"/>
        <item x="264"/>
        <item x="1"/>
        <item x="293"/>
        <item x="168"/>
        <item x="459"/>
        <item x="270"/>
        <item x="190"/>
        <item x="72"/>
        <item x="62"/>
        <item x="477"/>
        <item x="473"/>
        <item x="105"/>
        <item x="462"/>
        <item x="275"/>
        <item x="79"/>
        <item x="262"/>
        <item x="408"/>
        <item x="254"/>
        <item x="442"/>
        <item x="434"/>
        <item x="346"/>
        <item x="318"/>
        <item x="179"/>
        <item x="295"/>
        <item x="359"/>
        <item x="225"/>
        <item x="261"/>
        <item x="200"/>
        <item x="484"/>
        <item x="496"/>
        <item x="481"/>
        <item x="201"/>
        <item x="95"/>
        <item x="28"/>
        <item x="93"/>
        <item x="26"/>
        <item x="399"/>
        <item x="164"/>
        <item x="273"/>
        <item x="277"/>
        <item x="25"/>
        <item x="443"/>
        <item x="189"/>
        <item x="142"/>
        <item x="131"/>
        <item x="61"/>
        <item x="304"/>
        <item x="274"/>
        <item x="478"/>
        <item x="171"/>
        <item x="216"/>
        <item x="417"/>
        <item x="308"/>
        <item x="40"/>
        <item x="422"/>
        <item x="9"/>
        <item x="485"/>
        <item x="134"/>
        <item x="297"/>
        <item x="428"/>
        <item x="126"/>
        <item x="479"/>
        <item x="450"/>
        <item x="438"/>
        <item x="118"/>
        <item x="234"/>
        <item x="116"/>
        <item x="349"/>
        <item x="20"/>
        <item x="493"/>
        <item x="412"/>
        <item x="497"/>
        <item x="114"/>
        <item x="14"/>
        <item x="11"/>
        <item x="19"/>
        <item x="188"/>
        <item x="178"/>
        <item x="436"/>
        <item x="393"/>
        <item x="36"/>
        <item x="302"/>
        <item x="78"/>
        <item x="202"/>
        <item x="431"/>
        <item x="29"/>
        <item x="128"/>
        <item x="32"/>
        <item x="398"/>
        <item x="55"/>
        <item x="88"/>
        <item x="279"/>
        <item x="397"/>
        <item x="406"/>
        <item x="342"/>
        <item x="427"/>
        <item x="382"/>
        <item x="258"/>
        <item x="53"/>
        <item x="389"/>
        <item x="248"/>
        <item x="206"/>
        <item x="115"/>
        <item x="266"/>
        <item x="66"/>
        <item x="396"/>
        <item x="210"/>
        <item x="265"/>
        <item x="471"/>
        <item x="283"/>
        <item x="100"/>
        <item x="316"/>
        <item x="367"/>
        <item x="247"/>
        <item x="73"/>
        <item x="111"/>
        <item x="223"/>
        <item x="71"/>
        <item x="456"/>
        <item x="461"/>
        <item x="468"/>
        <item x="276"/>
        <item x="162"/>
        <item x="298"/>
        <item x="351"/>
        <item x="361"/>
        <item x="394"/>
        <item x="444"/>
        <item x="387"/>
        <item x="187"/>
        <item x="357"/>
        <item x="464"/>
        <item x="67"/>
        <item x="347"/>
        <item x="184"/>
        <item x="197"/>
        <item x="325"/>
        <item x="148"/>
        <item x="191"/>
        <item x="125"/>
        <item x="290"/>
        <item x="272"/>
        <item x="239"/>
        <item x="196"/>
        <item x="182"/>
        <item x="81"/>
        <item x="181"/>
        <item x="76"/>
        <item x="208"/>
        <item x="296"/>
        <item x="435"/>
        <item x="467"/>
        <item x="42"/>
        <item x="385"/>
        <item x="499"/>
        <item x="85"/>
        <item x="437"/>
        <item x="460"/>
        <item x="141"/>
        <item x="107"/>
        <item x="86"/>
        <item x="135"/>
        <item x="292"/>
        <item x="289"/>
        <item x="483"/>
        <item x="130"/>
        <item x="149"/>
        <item x="33"/>
        <item x="278"/>
        <item x="384"/>
        <item x="220"/>
        <item x="56"/>
        <item x="446"/>
        <item x="37"/>
        <item x="344"/>
        <item x="449"/>
        <item x="231"/>
        <item x="97"/>
        <item x="180"/>
        <item x="83"/>
        <item x="175"/>
        <item x="45"/>
        <item x="3"/>
        <item x="146"/>
        <item x="282"/>
        <item x="165"/>
        <item x="143"/>
        <item x="286"/>
        <item x="226"/>
        <item x="404"/>
        <item x="112"/>
        <item x="6"/>
        <item x="355"/>
        <item x="405"/>
        <item x="414"/>
        <item x="205"/>
        <item x="320"/>
        <item x="413"/>
        <item x="441"/>
        <item x="16"/>
        <item x="331"/>
        <item x="91"/>
        <item x="327"/>
        <item x="380"/>
        <item x="58"/>
        <item x="46"/>
        <item x="12"/>
        <item x="334"/>
        <item x="245"/>
        <item x="22"/>
        <item x="472"/>
        <item x="494"/>
        <item x="101"/>
        <item x="365"/>
        <item x="145"/>
        <item x="463"/>
        <item x="90"/>
        <item x="119"/>
        <item x="322"/>
        <item x="195"/>
        <item x="280"/>
        <item x="96"/>
        <item x="338"/>
        <item x="43"/>
        <item x="457"/>
        <item x="311"/>
        <item x="15"/>
        <item x="313"/>
        <item x="156"/>
        <item x="284"/>
        <item x="209"/>
        <item x="271"/>
        <item x="392"/>
        <item x="0"/>
        <item x="110"/>
        <item x="353"/>
        <item x="24"/>
        <item x="415"/>
        <item x="339"/>
        <item x="68"/>
        <item x="259"/>
        <item x="288"/>
        <item x="475"/>
        <item x="207"/>
        <item x="309"/>
        <item x="466"/>
        <item x="211"/>
        <item x="74"/>
        <item x="364"/>
        <item x="150"/>
        <item x="140"/>
        <item x="488"/>
        <item x="426"/>
        <item x="151"/>
        <item x="430"/>
        <item x="144"/>
        <item x="163"/>
        <item x="102"/>
        <item x="183"/>
        <item x="352"/>
        <item x="310"/>
        <item x="348"/>
        <item x="429"/>
        <item x="474"/>
        <item x="35"/>
        <item x="138"/>
        <item x="401"/>
        <item x="113"/>
        <item x="328"/>
        <item x="263"/>
        <item x="222"/>
        <item x="203"/>
        <item x="173"/>
        <item x="177"/>
        <item x="237"/>
        <item x="299"/>
        <item x="204"/>
        <item x="157"/>
        <item x="362"/>
        <item x="219"/>
        <item x="228"/>
        <item x="255"/>
        <item x="285"/>
        <item x="235"/>
        <item x="469"/>
        <item x="170"/>
        <item x="199"/>
        <item x="423"/>
        <item x="221"/>
        <item x="492"/>
        <item x="63"/>
        <item x="69"/>
        <item x="13"/>
        <item x="213"/>
        <item x="2"/>
        <item x="123"/>
        <item x="232"/>
        <item x="363"/>
        <item x="447"/>
        <item x="403"/>
        <item x="301"/>
        <item x="166"/>
        <item x="227"/>
        <item x="104"/>
        <item x="31"/>
        <item x="167"/>
        <item x="39"/>
        <item x="407"/>
        <item x="54"/>
        <item x="455"/>
        <item x="281"/>
        <item x="315"/>
        <item x="453"/>
        <item x="269"/>
        <item x="250"/>
        <item x="268"/>
        <item x="10"/>
        <item x="155"/>
        <item x="433"/>
        <item x="498"/>
        <item x="129"/>
        <item x="491"/>
        <item x="454"/>
        <item x="335"/>
        <item x="212"/>
        <item x="246"/>
        <item x="448"/>
        <item x="122"/>
        <item x="495"/>
        <item x="80"/>
        <item x="487"/>
        <item x="124"/>
        <item x="343"/>
        <item x="376"/>
        <item x="257"/>
        <item t="default"/>
      </items>
    </pivotField>
    <pivotField showAll="0"/>
    <pivotField showAll="0">
      <items count="11">
        <item x="8"/>
        <item x="6"/>
        <item x="9"/>
        <item x="2"/>
        <item x="5"/>
        <item x="4"/>
        <item x="0"/>
        <item x="3"/>
        <item x="7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14">
        <item x="12"/>
        <item x="11"/>
        <item x="6"/>
        <item x="10"/>
        <item x="7"/>
        <item x="2"/>
        <item x="4"/>
        <item x="3"/>
        <item x="1"/>
        <item x="5"/>
        <item x="8"/>
        <item x="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Forma de Pagamento" fld="12" subtotal="count" baseField="12" baseItem="0"/>
    <dataField name="% dos pedidos totais" fld="12" subtotal="count" showDataAs="percentOfTotal" baseField="12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1A708-F0C7-47FC-8547-FFB398A968E7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>
  <location ref="A9:A10" firstHeaderRow="1" firstDataRow="1" firstDataCol="0" rowPageCount="1" colPageCount="1"/>
  <pivotFields count="16">
    <pivotField showAll="0"/>
    <pivotField numFmtId="22" showAll="0">
      <items count="501">
        <item x="253"/>
        <item x="137"/>
        <item x="59"/>
        <item x="159"/>
        <item x="8"/>
        <item x="38"/>
        <item x="333"/>
        <item x="306"/>
        <item x="350"/>
        <item x="372"/>
        <item x="332"/>
        <item x="267"/>
        <item x="121"/>
        <item x="185"/>
        <item x="317"/>
        <item x="420"/>
        <item x="416"/>
        <item x="4"/>
        <item x="366"/>
        <item x="340"/>
        <item x="133"/>
        <item x="303"/>
        <item x="312"/>
        <item x="439"/>
        <item x="465"/>
        <item x="109"/>
        <item x="236"/>
        <item x="17"/>
        <item x="154"/>
        <item x="386"/>
        <item x="425"/>
        <item x="161"/>
        <item x="243"/>
        <item x="424"/>
        <item x="192"/>
        <item x="84"/>
        <item x="77"/>
        <item x="60"/>
        <item x="369"/>
        <item x="388"/>
        <item x="249"/>
        <item x="391"/>
        <item x="174"/>
        <item x="383"/>
        <item x="419"/>
        <item x="139"/>
        <item x="458"/>
        <item x="50"/>
        <item x="374"/>
        <item x="87"/>
        <item x="193"/>
        <item x="390"/>
        <item x="256"/>
        <item x="326"/>
        <item x="242"/>
        <item x="440"/>
        <item x="49"/>
        <item x="18"/>
        <item x="321"/>
        <item x="402"/>
        <item x="244"/>
        <item x="186"/>
        <item x="152"/>
        <item x="75"/>
        <item x="341"/>
        <item x="314"/>
        <item x="108"/>
        <item x="476"/>
        <item x="395"/>
        <item x="233"/>
        <item x="368"/>
        <item x="305"/>
        <item x="238"/>
        <item x="409"/>
        <item x="330"/>
        <item x="445"/>
        <item x="411"/>
        <item x="34"/>
        <item x="47"/>
        <item x="241"/>
        <item x="358"/>
        <item x="287"/>
        <item x="370"/>
        <item x="51"/>
        <item x="482"/>
        <item x="379"/>
        <item x="98"/>
        <item x="480"/>
        <item x="489"/>
        <item x="94"/>
        <item x="103"/>
        <item x="172"/>
        <item x="486"/>
        <item x="260"/>
        <item x="323"/>
        <item x="418"/>
        <item x="377"/>
        <item x="319"/>
        <item x="291"/>
        <item x="307"/>
        <item x="44"/>
        <item x="410"/>
        <item x="41"/>
        <item x="120"/>
        <item x="490"/>
        <item x="23"/>
        <item x="345"/>
        <item x="52"/>
        <item x="198"/>
        <item x="470"/>
        <item x="378"/>
        <item x="252"/>
        <item x="132"/>
        <item x="217"/>
        <item x="240"/>
        <item x="65"/>
        <item x="230"/>
        <item x="452"/>
        <item x="329"/>
        <item x="432"/>
        <item x="176"/>
        <item x="106"/>
        <item x="117"/>
        <item x="21"/>
        <item x="147"/>
        <item x="27"/>
        <item x="371"/>
        <item x="82"/>
        <item x="421"/>
        <item x="160"/>
        <item x="224"/>
        <item x="7"/>
        <item x="336"/>
        <item x="356"/>
        <item x="127"/>
        <item x="57"/>
        <item x="153"/>
        <item x="375"/>
        <item x="300"/>
        <item x="354"/>
        <item x="5"/>
        <item x="451"/>
        <item x="360"/>
        <item x="48"/>
        <item x="169"/>
        <item x="214"/>
        <item x="373"/>
        <item x="158"/>
        <item x="99"/>
        <item x="215"/>
        <item x="64"/>
        <item x="70"/>
        <item x="194"/>
        <item x="89"/>
        <item x="229"/>
        <item x="337"/>
        <item x="136"/>
        <item x="400"/>
        <item x="324"/>
        <item x="92"/>
        <item x="218"/>
        <item x="381"/>
        <item x="251"/>
        <item x="30"/>
        <item x="294"/>
        <item x="264"/>
        <item x="1"/>
        <item x="293"/>
        <item x="168"/>
        <item x="459"/>
        <item x="270"/>
        <item x="190"/>
        <item x="72"/>
        <item x="62"/>
        <item x="477"/>
        <item x="473"/>
        <item x="105"/>
        <item x="462"/>
        <item x="275"/>
        <item x="79"/>
        <item x="262"/>
        <item x="408"/>
        <item x="254"/>
        <item x="442"/>
        <item x="434"/>
        <item x="346"/>
        <item x="318"/>
        <item x="179"/>
        <item x="295"/>
        <item x="359"/>
        <item x="225"/>
        <item x="261"/>
        <item x="200"/>
        <item x="484"/>
        <item x="496"/>
        <item x="481"/>
        <item x="201"/>
        <item x="95"/>
        <item x="28"/>
        <item x="93"/>
        <item x="26"/>
        <item x="399"/>
        <item x="164"/>
        <item x="273"/>
        <item x="277"/>
        <item x="25"/>
        <item x="443"/>
        <item x="189"/>
        <item x="142"/>
        <item x="131"/>
        <item x="61"/>
        <item x="304"/>
        <item x="274"/>
        <item x="478"/>
        <item x="171"/>
        <item x="216"/>
        <item x="417"/>
        <item x="308"/>
        <item x="40"/>
        <item x="422"/>
        <item x="9"/>
        <item x="485"/>
        <item x="134"/>
        <item x="297"/>
        <item x="428"/>
        <item x="126"/>
        <item x="479"/>
        <item x="450"/>
        <item x="438"/>
        <item x="118"/>
        <item x="234"/>
        <item x="116"/>
        <item x="349"/>
        <item x="20"/>
        <item x="493"/>
        <item x="412"/>
        <item x="497"/>
        <item x="114"/>
        <item x="14"/>
        <item x="11"/>
        <item x="19"/>
        <item x="188"/>
        <item x="178"/>
        <item x="436"/>
        <item x="393"/>
        <item x="36"/>
        <item x="302"/>
        <item x="78"/>
        <item x="202"/>
        <item x="431"/>
        <item x="29"/>
        <item x="128"/>
        <item x="32"/>
        <item x="398"/>
        <item x="55"/>
        <item x="88"/>
        <item x="279"/>
        <item x="397"/>
        <item x="406"/>
        <item x="342"/>
        <item x="427"/>
        <item x="382"/>
        <item x="258"/>
        <item x="53"/>
        <item x="389"/>
        <item x="248"/>
        <item x="206"/>
        <item x="115"/>
        <item x="266"/>
        <item x="66"/>
        <item x="396"/>
        <item x="210"/>
        <item x="265"/>
        <item x="471"/>
        <item x="283"/>
        <item x="100"/>
        <item x="316"/>
        <item x="367"/>
        <item x="247"/>
        <item x="73"/>
        <item x="111"/>
        <item x="223"/>
        <item x="71"/>
        <item x="456"/>
        <item x="461"/>
        <item x="468"/>
        <item x="276"/>
        <item x="162"/>
        <item x="298"/>
        <item x="351"/>
        <item x="361"/>
        <item x="394"/>
        <item x="444"/>
        <item x="387"/>
        <item x="187"/>
        <item x="357"/>
        <item x="464"/>
        <item x="67"/>
        <item x="347"/>
        <item x="184"/>
        <item x="197"/>
        <item x="325"/>
        <item x="148"/>
        <item x="191"/>
        <item x="125"/>
        <item x="290"/>
        <item x="272"/>
        <item x="239"/>
        <item x="196"/>
        <item x="182"/>
        <item x="81"/>
        <item x="181"/>
        <item x="76"/>
        <item x="208"/>
        <item x="296"/>
        <item x="435"/>
        <item x="467"/>
        <item x="42"/>
        <item x="385"/>
        <item x="499"/>
        <item x="85"/>
        <item x="437"/>
        <item x="460"/>
        <item x="141"/>
        <item x="107"/>
        <item x="86"/>
        <item x="135"/>
        <item x="292"/>
        <item x="289"/>
        <item x="483"/>
        <item x="130"/>
        <item x="149"/>
        <item x="33"/>
        <item x="278"/>
        <item x="384"/>
        <item x="220"/>
        <item x="56"/>
        <item x="446"/>
        <item x="37"/>
        <item x="344"/>
        <item x="449"/>
        <item x="231"/>
        <item x="97"/>
        <item x="180"/>
        <item x="83"/>
        <item x="175"/>
        <item x="45"/>
        <item x="3"/>
        <item x="146"/>
        <item x="282"/>
        <item x="165"/>
        <item x="143"/>
        <item x="286"/>
        <item x="226"/>
        <item x="404"/>
        <item x="112"/>
        <item x="6"/>
        <item x="355"/>
        <item x="405"/>
        <item x="414"/>
        <item x="205"/>
        <item x="320"/>
        <item x="413"/>
        <item x="441"/>
        <item x="16"/>
        <item x="331"/>
        <item x="91"/>
        <item x="327"/>
        <item x="380"/>
        <item x="58"/>
        <item x="46"/>
        <item x="12"/>
        <item x="334"/>
        <item x="245"/>
        <item x="22"/>
        <item x="472"/>
        <item x="494"/>
        <item x="101"/>
        <item x="365"/>
        <item x="145"/>
        <item x="463"/>
        <item x="90"/>
        <item x="119"/>
        <item x="322"/>
        <item x="195"/>
        <item x="280"/>
        <item x="96"/>
        <item x="338"/>
        <item x="43"/>
        <item x="457"/>
        <item x="311"/>
        <item x="15"/>
        <item x="313"/>
        <item x="156"/>
        <item x="284"/>
        <item x="209"/>
        <item x="271"/>
        <item x="392"/>
        <item x="0"/>
        <item x="110"/>
        <item x="353"/>
        <item x="24"/>
        <item x="415"/>
        <item x="339"/>
        <item x="68"/>
        <item x="259"/>
        <item x="288"/>
        <item x="475"/>
        <item x="207"/>
        <item x="309"/>
        <item x="466"/>
        <item x="211"/>
        <item x="74"/>
        <item x="364"/>
        <item x="150"/>
        <item x="140"/>
        <item x="488"/>
        <item x="426"/>
        <item x="151"/>
        <item x="430"/>
        <item x="144"/>
        <item x="163"/>
        <item x="102"/>
        <item x="183"/>
        <item x="352"/>
        <item x="310"/>
        <item x="348"/>
        <item x="429"/>
        <item x="474"/>
        <item x="35"/>
        <item x="138"/>
        <item x="401"/>
        <item x="113"/>
        <item x="328"/>
        <item x="263"/>
        <item x="222"/>
        <item x="203"/>
        <item x="173"/>
        <item x="177"/>
        <item x="237"/>
        <item x="299"/>
        <item x="204"/>
        <item x="157"/>
        <item x="362"/>
        <item x="219"/>
        <item x="228"/>
        <item x="255"/>
        <item x="285"/>
        <item x="235"/>
        <item x="469"/>
        <item x="170"/>
        <item x="199"/>
        <item x="423"/>
        <item x="221"/>
        <item x="492"/>
        <item x="63"/>
        <item x="69"/>
        <item x="13"/>
        <item x="213"/>
        <item x="2"/>
        <item x="123"/>
        <item x="232"/>
        <item x="363"/>
        <item x="447"/>
        <item x="403"/>
        <item x="301"/>
        <item x="166"/>
        <item x="227"/>
        <item x="104"/>
        <item x="31"/>
        <item x="167"/>
        <item x="39"/>
        <item x="407"/>
        <item x="54"/>
        <item x="455"/>
        <item x="281"/>
        <item x="315"/>
        <item x="453"/>
        <item x="269"/>
        <item x="250"/>
        <item x="268"/>
        <item x="10"/>
        <item x="155"/>
        <item x="433"/>
        <item x="498"/>
        <item x="129"/>
        <item x="491"/>
        <item x="454"/>
        <item x="335"/>
        <item x="212"/>
        <item x="246"/>
        <item x="448"/>
        <item x="122"/>
        <item x="495"/>
        <item x="80"/>
        <item x="487"/>
        <item x="124"/>
        <item x="343"/>
        <item x="376"/>
        <item x="257"/>
        <item t="default"/>
      </items>
    </pivotField>
    <pivotField showAll="0"/>
    <pivotField showAll="0">
      <items count="11">
        <item x="8"/>
        <item x="6"/>
        <item x="9"/>
        <item x="2"/>
        <item x="5"/>
        <item x="4"/>
        <item x="0"/>
        <item x="3"/>
        <item x="7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14">
        <item x="12"/>
        <item x="11"/>
        <item x="6"/>
        <item x="10"/>
        <item x="7"/>
        <item x="2"/>
        <item x="4"/>
        <item x="3"/>
        <item x="1"/>
        <item x="5"/>
        <item x="8"/>
        <item x="9"/>
        <item x="0"/>
        <item t="default"/>
      </items>
    </pivotField>
    <pivotField showAll="0"/>
    <pivotField showAll="0"/>
    <pivotField showAll="0"/>
    <pivotField dataField="1" showAll="0">
      <items count="43">
        <item x="27"/>
        <item x="19"/>
        <item x="21"/>
        <item x="3"/>
        <item x="35"/>
        <item x="4"/>
        <item x="2"/>
        <item x="25"/>
        <item x="7"/>
        <item x="36"/>
        <item x="24"/>
        <item x="0"/>
        <item x="10"/>
        <item x="23"/>
        <item x="1"/>
        <item x="12"/>
        <item x="8"/>
        <item x="29"/>
        <item x="17"/>
        <item x="5"/>
        <item x="26"/>
        <item x="20"/>
        <item x="11"/>
        <item x="22"/>
        <item x="28"/>
        <item x="9"/>
        <item x="14"/>
        <item x="13"/>
        <item x="32"/>
        <item x="16"/>
        <item x="18"/>
        <item x="30"/>
        <item x="31"/>
        <item x="37"/>
        <item x="6"/>
        <item x="34"/>
        <item x="15"/>
        <item x="41"/>
        <item x="38"/>
        <item x="33"/>
        <item x="40"/>
        <item x="39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Page" multipleItemSelectionAllowed="1" showAll="0">
      <items count="5">
        <item x="0"/>
        <item h="1" x="3"/>
        <item x="1"/>
        <item h="1"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3" hier="-1"/>
  </pageFields>
  <dataFields count="1">
    <dataField name="Faturamento Líquido" fld="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25BAE-E123-4479-95A3-E10FA90320A4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Status">
  <location ref="E49:G54" firstHeaderRow="0" firstDataRow="1" firstDataCol="1"/>
  <pivotFields count="16">
    <pivotField showAll="0"/>
    <pivotField numFmtId="22" showAll="0">
      <items count="501">
        <item x="253"/>
        <item x="137"/>
        <item x="59"/>
        <item x="159"/>
        <item x="8"/>
        <item x="38"/>
        <item x="333"/>
        <item x="306"/>
        <item x="350"/>
        <item x="372"/>
        <item x="332"/>
        <item x="267"/>
        <item x="121"/>
        <item x="185"/>
        <item x="317"/>
        <item x="420"/>
        <item x="416"/>
        <item x="4"/>
        <item x="366"/>
        <item x="340"/>
        <item x="133"/>
        <item x="303"/>
        <item x="312"/>
        <item x="439"/>
        <item x="465"/>
        <item x="109"/>
        <item x="236"/>
        <item x="17"/>
        <item x="154"/>
        <item x="386"/>
        <item x="425"/>
        <item x="161"/>
        <item x="243"/>
        <item x="424"/>
        <item x="192"/>
        <item x="84"/>
        <item x="77"/>
        <item x="60"/>
        <item x="369"/>
        <item x="388"/>
        <item x="249"/>
        <item x="391"/>
        <item x="174"/>
        <item x="383"/>
        <item x="419"/>
        <item x="139"/>
        <item x="458"/>
        <item x="50"/>
        <item x="374"/>
        <item x="87"/>
        <item x="193"/>
        <item x="390"/>
        <item x="256"/>
        <item x="326"/>
        <item x="242"/>
        <item x="440"/>
        <item x="49"/>
        <item x="18"/>
        <item x="321"/>
        <item x="402"/>
        <item x="244"/>
        <item x="186"/>
        <item x="152"/>
        <item x="75"/>
        <item x="341"/>
        <item x="314"/>
        <item x="108"/>
        <item x="476"/>
        <item x="395"/>
        <item x="233"/>
        <item x="368"/>
        <item x="305"/>
        <item x="238"/>
        <item x="409"/>
        <item x="330"/>
        <item x="445"/>
        <item x="411"/>
        <item x="34"/>
        <item x="47"/>
        <item x="241"/>
        <item x="358"/>
        <item x="287"/>
        <item x="370"/>
        <item x="51"/>
        <item x="482"/>
        <item x="379"/>
        <item x="98"/>
        <item x="480"/>
        <item x="489"/>
        <item x="94"/>
        <item x="103"/>
        <item x="172"/>
        <item x="486"/>
        <item x="260"/>
        <item x="323"/>
        <item x="418"/>
        <item x="377"/>
        <item x="319"/>
        <item x="291"/>
        <item x="307"/>
        <item x="44"/>
        <item x="410"/>
        <item x="41"/>
        <item x="120"/>
        <item x="490"/>
        <item x="23"/>
        <item x="345"/>
        <item x="52"/>
        <item x="198"/>
        <item x="470"/>
        <item x="378"/>
        <item x="252"/>
        <item x="132"/>
        <item x="217"/>
        <item x="240"/>
        <item x="65"/>
        <item x="230"/>
        <item x="452"/>
        <item x="329"/>
        <item x="432"/>
        <item x="176"/>
        <item x="106"/>
        <item x="117"/>
        <item x="21"/>
        <item x="147"/>
        <item x="27"/>
        <item x="371"/>
        <item x="82"/>
        <item x="421"/>
        <item x="160"/>
        <item x="224"/>
        <item x="7"/>
        <item x="336"/>
        <item x="356"/>
        <item x="127"/>
        <item x="57"/>
        <item x="153"/>
        <item x="375"/>
        <item x="300"/>
        <item x="354"/>
        <item x="5"/>
        <item x="451"/>
        <item x="360"/>
        <item x="48"/>
        <item x="169"/>
        <item x="214"/>
        <item x="373"/>
        <item x="158"/>
        <item x="99"/>
        <item x="215"/>
        <item x="64"/>
        <item x="70"/>
        <item x="194"/>
        <item x="89"/>
        <item x="229"/>
        <item x="337"/>
        <item x="136"/>
        <item x="400"/>
        <item x="324"/>
        <item x="92"/>
        <item x="218"/>
        <item x="381"/>
        <item x="251"/>
        <item x="30"/>
        <item x="294"/>
        <item x="264"/>
        <item x="1"/>
        <item x="293"/>
        <item x="168"/>
        <item x="459"/>
        <item x="270"/>
        <item x="190"/>
        <item x="72"/>
        <item x="62"/>
        <item x="477"/>
        <item x="473"/>
        <item x="105"/>
        <item x="462"/>
        <item x="275"/>
        <item x="79"/>
        <item x="262"/>
        <item x="408"/>
        <item x="254"/>
        <item x="442"/>
        <item x="434"/>
        <item x="346"/>
        <item x="318"/>
        <item x="179"/>
        <item x="295"/>
        <item x="359"/>
        <item x="225"/>
        <item x="261"/>
        <item x="200"/>
        <item x="484"/>
        <item x="496"/>
        <item x="481"/>
        <item x="201"/>
        <item x="95"/>
        <item x="28"/>
        <item x="93"/>
        <item x="26"/>
        <item x="399"/>
        <item x="164"/>
        <item x="273"/>
        <item x="277"/>
        <item x="25"/>
        <item x="443"/>
        <item x="189"/>
        <item x="142"/>
        <item x="131"/>
        <item x="61"/>
        <item x="304"/>
        <item x="274"/>
        <item x="478"/>
        <item x="171"/>
        <item x="216"/>
        <item x="417"/>
        <item x="308"/>
        <item x="40"/>
        <item x="422"/>
        <item x="9"/>
        <item x="485"/>
        <item x="134"/>
        <item x="297"/>
        <item x="428"/>
        <item x="126"/>
        <item x="479"/>
        <item x="450"/>
        <item x="438"/>
        <item x="118"/>
        <item x="234"/>
        <item x="116"/>
        <item x="349"/>
        <item x="20"/>
        <item x="493"/>
        <item x="412"/>
        <item x="497"/>
        <item x="114"/>
        <item x="14"/>
        <item x="11"/>
        <item x="19"/>
        <item x="188"/>
        <item x="178"/>
        <item x="436"/>
        <item x="393"/>
        <item x="36"/>
        <item x="302"/>
        <item x="78"/>
        <item x="202"/>
        <item x="431"/>
        <item x="29"/>
        <item x="128"/>
        <item x="32"/>
        <item x="398"/>
        <item x="55"/>
        <item x="88"/>
        <item x="279"/>
        <item x="397"/>
        <item x="406"/>
        <item x="342"/>
        <item x="427"/>
        <item x="382"/>
        <item x="258"/>
        <item x="53"/>
        <item x="389"/>
        <item x="248"/>
        <item x="206"/>
        <item x="115"/>
        <item x="266"/>
        <item x="66"/>
        <item x="396"/>
        <item x="210"/>
        <item x="265"/>
        <item x="471"/>
        <item x="283"/>
        <item x="100"/>
        <item x="316"/>
        <item x="367"/>
        <item x="247"/>
        <item x="73"/>
        <item x="111"/>
        <item x="223"/>
        <item x="71"/>
        <item x="456"/>
        <item x="461"/>
        <item x="468"/>
        <item x="276"/>
        <item x="162"/>
        <item x="298"/>
        <item x="351"/>
        <item x="361"/>
        <item x="394"/>
        <item x="444"/>
        <item x="387"/>
        <item x="187"/>
        <item x="357"/>
        <item x="464"/>
        <item x="67"/>
        <item x="347"/>
        <item x="184"/>
        <item x="197"/>
        <item x="325"/>
        <item x="148"/>
        <item x="191"/>
        <item x="125"/>
        <item x="290"/>
        <item x="272"/>
        <item x="239"/>
        <item x="196"/>
        <item x="182"/>
        <item x="81"/>
        <item x="181"/>
        <item x="76"/>
        <item x="208"/>
        <item x="296"/>
        <item x="435"/>
        <item x="467"/>
        <item x="42"/>
        <item x="385"/>
        <item x="499"/>
        <item x="85"/>
        <item x="437"/>
        <item x="460"/>
        <item x="141"/>
        <item x="107"/>
        <item x="86"/>
        <item x="135"/>
        <item x="292"/>
        <item x="289"/>
        <item x="483"/>
        <item x="130"/>
        <item x="149"/>
        <item x="33"/>
        <item x="278"/>
        <item x="384"/>
        <item x="220"/>
        <item x="56"/>
        <item x="446"/>
        <item x="37"/>
        <item x="344"/>
        <item x="449"/>
        <item x="231"/>
        <item x="97"/>
        <item x="180"/>
        <item x="83"/>
        <item x="175"/>
        <item x="45"/>
        <item x="3"/>
        <item x="146"/>
        <item x="282"/>
        <item x="165"/>
        <item x="143"/>
        <item x="286"/>
        <item x="226"/>
        <item x="404"/>
        <item x="112"/>
        <item x="6"/>
        <item x="355"/>
        <item x="405"/>
        <item x="414"/>
        <item x="205"/>
        <item x="320"/>
        <item x="413"/>
        <item x="441"/>
        <item x="16"/>
        <item x="331"/>
        <item x="91"/>
        <item x="327"/>
        <item x="380"/>
        <item x="58"/>
        <item x="46"/>
        <item x="12"/>
        <item x="334"/>
        <item x="245"/>
        <item x="22"/>
        <item x="472"/>
        <item x="494"/>
        <item x="101"/>
        <item x="365"/>
        <item x="145"/>
        <item x="463"/>
        <item x="90"/>
        <item x="119"/>
        <item x="322"/>
        <item x="195"/>
        <item x="280"/>
        <item x="96"/>
        <item x="338"/>
        <item x="43"/>
        <item x="457"/>
        <item x="311"/>
        <item x="15"/>
        <item x="313"/>
        <item x="156"/>
        <item x="284"/>
        <item x="209"/>
        <item x="271"/>
        <item x="392"/>
        <item x="0"/>
        <item x="110"/>
        <item x="353"/>
        <item x="24"/>
        <item x="415"/>
        <item x="339"/>
        <item x="68"/>
        <item x="259"/>
        <item x="288"/>
        <item x="475"/>
        <item x="207"/>
        <item x="309"/>
        <item x="466"/>
        <item x="211"/>
        <item x="74"/>
        <item x="364"/>
        <item x="150"/>
        <item x="140"/>
        <item x="488"/>
        <item x="426"/>
        <item x="151"/>
        <item x="430"/>
        <item x="144"/>
        <item x="163"/>
        <item x="102"/>
        <item x="183"/>
        <item x="352"/>
        <item x="310"/>
        <item x="348"/>
        <item x="429"/>
        <item x="474"/>
        <item x="35"/>
        <item x="138"/>
        <item x="401"/>
        <item x="113"/>
        <item x="328"/>
        <item x="263"/>
        <item x="222"/>
        <item x="203"/>
        <item x="173"/>
        <item x="177"/>
        <item x="237"/>
        <item x="299"/>
        <item x="204"/>
        <item x="157"/>
        <item x="362"/>
        <item x="219"/>
        <item x="228"/>
        <item x="255"/>
        <item x="285"/>
        <item x="235"/>
        <item x="469"/>
        <item x="170"/>
        <item x="199"/>
        <item x="423"/>
        <item x="221"/>
        <item x="492"/>
        <item x="63"/>
        <item x="69"/>
        <item x="13"/>
        <item x="213"/>
        <item x="2"/>
        <item x="123"/>
        <item x="232"/>
        <item x="363"/>
        <item x="447"/>
        <item x="403"/>
        <item x="301"/>
        <item x="166"/>
        <item x="227"/>
        <item x="104"/>
        <item x="31"/>
        <item x="167"/>
        <item x="39"/>
        <item x="407"/>
        <item x="54"/>
        <item x="455"/>
        <item x="281"/>
        <item x="315"/>
        <item x="453"/>
        <item x="269"/>
        <item x="250"/>
        <item x="268"/>
        <item x="10"/>
        <item x="155"/>
        <item x="433"/>
        <item x="498"/>
        <item x="129"/>
        <item x="491"/>
        <item x="454"/>
        <item x="335"/>
        <item x="212"/>
        <item x="246"/>
        <item x="448"/>
        <item x="122"/>
        <item x="495"/>
        <item x="80"/>
        <item x="487"/>
        <item x="124"/>
        <item x="343"/>
        <item x="376"/>
        <item x="257"/>
        <item t="default"/>
      </items>
    </pivotField>
    <pivotField showAll="0"/>
    <pivotField showAll="0">
      <items count="11">
        <item x="8"/>
        <item x="6"/>
        <item x="9"/>
        <item x="2"/>
        <item x="5"/>
        <item x="4"/>
        <item x="0"/>
        <item x="3"/>
        <item x="7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>
      <items count="14">
        <item x="12"/>
        <item x="11"/>
        <item x="6"/>
        <item x="10"/>
        <item x="7"/>
        <item x="2"/>
        <item x="4"/>
        <item x="3"/>
        <item x="1"/>
        <item x="5"/>
        <item x="8"/>
        <item x="9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2"/>
        <item x="0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Lucro" fld="11" baseField="4" baseItem="1" numFmtId="4"/>
    <dataField name="% por categoria" fld="11" showDataAs="percentOfTotal" baseField="4" baseItem="0" numFmtId="10"/>
  </dataFields>
  <chartFormats count="11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F" xr10:uid="{81AED6BC-DA9E-498A-9CE6-67F3CAFFEBB2}" sourceName="UF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F 1" xr10:uid="{F876B5F7-C980-4685-A9CF-59B0A17FC7CA}" cache="SegmentaçãodeDados_UF" caption="UF" columnCount="2" style="SlicerStyleLight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FF213-F751-4C5C-B867-72E7AB96E704}" name="Tabela1" displayName="Tabela1" ref="A17:B27" totalsRowShown="0" headerRowDxfId="7" headerRowBorderDxfId="6">
  <autoFilter ref="A17:B27" xr:uid="{B84FF213-F751-4C5C-B867-72E7AB96E704}"/>
  <tableColumns count="2">
    <tableColumn id="1" xr3:uid="{7770F02B-50EE-412B-B264-EA53CD933CFD}" name="UF" dataDxfId="5"/>
    <tableColumn id="2" xr3:uid="{FEE29205-7CAC-4E0C-A158-716BCC79B980}" name="Vendas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FDA3BC-E045-4629-BEC1-B63154DFB4C3}" name="Tabela2" displayName="Tabela2" ref="I2:K7" totalsRowShown="0" headerRowDxfId="3">
  <autoFilter ref="I2:K7" xr:uid="{BDFDA3BC-E045-4629-BEC1-B63154DFB4C3}"/>
  <tableColumns count="3">
    <tableColumn id="1" xr3:uid="{41F9D7BE-0EE2-4401-9B32-902420CF8997}" name="Posição" dataDxfId="2"/>
    <tableColumn id="2" xr3:uid="{40B16FC5-5371-4C73-AF30-AE3CE1EA5AA0}" name="Produto" dataDxfId="1">
      <calculatedColumnFormula>INDEX(E33:E45,MATCH(I3,G33:G45,0))</calculatedColumnFormula>
    </tableColumn>
    <tableColumn id="3" xr3:uid="{E84C788A-3FB2-4C97-B5DD-D6CF41CD2730}" name="Lucro Médio" dataDxfId="0">
      <calculatedColumnFormula>INDEX(F33:F45,MATCH(I3,G33:G45,0))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82A6-222A-4C2D-9869-E56D015DC867}">
  <sheetPr>
    <pageSetUpPr autoPageBreaks="0"/>
  </sheetPr>
  <dimension ref="A1:AD58"/>
  <sheetViews>
    <sheetView showGridLines="0" tabSelected="1" zoomScaleNormal="100" workbookViewId="0">
      <selection activeCell="AD1" sqref="AD1"/>
    </sheetView>
  </sheetViews>
  <sheetFormatPr defaultColWidth="0" defaultRowHeight="15" zeroHeight="1" x14ac:dyDescent="0.25"/>
  <cols>
    <col min="1" max="30" width="9.140625" customWidth="1"/>
    <col min="31" max="16384" width="9.140625" hidden="1"/>
  </cols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  <row r="6" customFormat="1" x14ac:dyDescent="0.25"/>
    <row r="7" customFormat="1" x14ac:dyDescent="0.25"/>
    <row r="8" customFormat="1" x14ac:dyDescent="0.25"/>
    <row r="9" customFormat="1" x14ac:dyDescent="0.25"/>
    <row r="10" customFormat="1" x14ac:dyDescent="0.25"/>
    <row r="11" customFormat="1" x14ac:dyDescent="0.25"/>
    <row r="12" customFormat="1" x14ac:dyDescent="0.25"/>
    <row r="13" customFormat="1" x14ac:dyDescent="0.25"/>
    <row r="14" customFormat="1" x14ac:dyDescent="0.25"/>
    <row r="15" customFormat="1" x14ac:dyDescent="0.25"/>
    <row r="1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hidden="1" x14ac:dyDescent="0.25"/>
    <row r="54" customFormat="1" hidden="1" x14ac:dyDescent="0.25"/>
    <row r="55" customFormat="1" hidden="1" x14ac:dyDescent="0.25"/>
    <row r="56" customFormat="1" hidden="1" x14ac:dyDescent="0.25"/>
    <row r="57" customFormat="1" hidden="1" x14ac:dyDescent="0.25"/>
    <row r="58" customFormat="1" hidden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313C-722F-468F-B057-DB17C7D6F315}">
  <dimension ref="A1:N1200"/>
  <sheetViews>
    <sheetView showGridLines="0" zoomScaleNormal="100" workbookViewId="0">
      <selection activeCell="C10" sqref="C10"/>
    </sheetView>
  </sheetViews>
  <sheetFormatPr defaultColWidth="0" defaultRowHeight="15" zeroHeight="1" x14ac:dyDescent="0.25"/>
  <cols>
    <col min="1" max="1" width="19.7109375" style="2" bestFit="1" customWidth="1"/>
    <col min="2" max="2" width="15.140625" style="2" bestFit="1" customWidth="1"/>
    <col min="3" max="3" width="19.42578125" style="2" bestFit="1" customWidth="1"/>
    <col min="4" max="4" width="9.140625" style="2" customWidth="1"/>
    <col min="5" max="5" width="20.42578125" style="2" bestFit="1" customWidth="1"/>
    <col min="6" max="6" width="18.85546875" style="2" bestFit="1" customWidth="1"/>
    <col min="7" max="8" width="13.85546875" style="2" bestFit="1" customWidth="1"/>
    <col min="9" max="9" width="10" style="2" bestFit="1" customWidth="1"/>
    <col min="10" max="10" width="32.28515625" style="2" bestFit="1" customWidth="1"/>
    <col min="11" max="11" width="14.140625" style="2" customWidth="1"/>
    <col min="12" max="12" width="13.85546875" style="2" bestFit="1" customWidth="1"/>
    <col min="13" max="14" width="19.42578125" style="2" hidden="1" customWidth="1"/>
    <col min="15" max="16384" width="9.140625" style="2" hidden="1"/>
  </cols>
  <sheetData>
    <row r="1" spans="1:14" x14ac:dyDescent="0.25"/>
    <row r="2" spans="1:14" x14ac:dyDescent="0.25">
      <c r="A2" s="5" t="s">
        <v>15</v>
      </c>
      <c r="B2" t="s">
        <v>768</v>
      </c>
      <c r="E2" s="5" t="s">
        <v>0</v>
      </c>
      <c r="F2" t="s">
        <v>771</v>
      </c>
      <c r="G2" t="s">
        <v>772</v>
      </c>
      <c r="I2" s="10" t="s">
        <v>783</v>
      </c>
      <c r="J2" s="10" t="s">
        <v>7</v>
      </c>
      <c r="K2" s="10" t="s">
        <v>776</v>
      </c>
    </row>
    <row r="3" spans="1:14" x14ac:dyDescent="0.25">
      <c r="A3"/>
      <c r="B3"/>
      <c r="E3" s="6" t="s">
        <v>21</v>
      </c>
      <c r="F3">
        <v>134</v>
      </c>
      <c r="G3" s="9">
        <v>0.26800000000000002</v>
      </c>
      <c r="I3" s="2">
        <v>1</v>
      </c>
      <c r="J3" s="2" t="str">
        <f>INDEX(E33:E45,MATCH(I3,G33:G45,0))</f>
        <v>Hoodie Boxy Fit Charcoal</v>
      </c>
      <c r="K3" s="3">
        <f>INDEX(F33:F45,MATCH(I3,G33:G45,0))</f>
        <v>214.9</v>
      </c>
    </row>
    <row r="4" spans="1:14" x14ac:dyDescent="0.25">
      <c r="A4" t="s">
        <v>778</v>
      </c>
      <c r="B4"/>
      <c r="E4" s="6" t="s">
        <v>67</v>
      </c>
      <c r="F4">
        <v>38</v>
      </c>
      <c r="G4" s="9">
        <v>7.5999999999999998E-2</v>
      </c>
      <c r="I4" s="2">
        <v>2</v>
      </c>
      <c r="J4" s="2" t="str">
        <f t="shared" ref="J4:J7" si="0">INDEX(E34:E46,MATCH(I4,G34:G46,0))</f>
        <v>Hoodie Oversized Essential Black</v>
      </c>
      <c r="K4" s="3">
        <f t="shared" ref="K4:K7" si="1">INDEX(F34:F46,MATCH(I4,G34:G46,0))</f>
        <v>194.9</v>
      </c>
    </row>
    <row r="5" spans="1:14" x14ac:dyDescent="0.25">
      <c r="A5" s="12">
        <v>143767.79999999926</v>
      </c>
      <c r="B5"/>
      <c r="E5" s="6" t="s">
        <v>27</v>
      </c>
      <c r="F5">
        <v>311</v>
      </c>
      <c r="G5" s="9">
        <v>0.622</v>
      </c>
      <c r="I5" s="2">
        <v>3</v>
      </c>
      <c r="J5" s="2" t="str">
        <f t="shared" si="0"/>
        <v>Calça Denim Straight Fit Dark Wash</v>
      </c>
      <c r="K5" s="3">
        <f t="shared" si="1"/>
        <v>189.9</v>
      </c>
    </row>
    <row r="6" spans="1:14" x14ac:dyDescent="0.25">
      <c r="A6"/>
      <c r="B6"/>
      <c r="E6" s="6" t="s">
        <v>44</v>
      </c>
      <c r="F6">
        <v>17</v>
      </c>
      <c r="G6" s="9">
        <v>3.4000000000000002E-2</v>
      </c>
      <c r="I6" s="2">
        <v>4</v>
      </c>
      <c r="J6" s="2" t="str">
        <f t="shared" si="0"/>
        <v>Moletom Crewneck ZOVY Arch</v>
      </c>
      <c r="K6" s="3">
        <f t="shared" si="1"/>
        <v>177.9</v>
      </c>
    </row>
    <row r="7" spans="1:14" x14ac:dyDescent="0.25">
      <c r="A7" s="5" t="s">
        <v>15</v>
      </c>
      <c r="B7" t="s">
        <v>793</v>
      </c>
      <c r="E7" s="6" t="s">
        <v>767</v>
      </c>
      <c r="F7">
        <v>500</v>
      </c>
      <c r="G7" s="9">
        <v>1</v>
      </c>
      <c r="I7" s="2">
        <v>5</v>
      </c>
      <c r="J7" s="2" t="str">
        <f t="shared" si="0"/>
        <v>Calça Cargo Wide Leg Black</v>
      </c>
      <c r="K7" s="3">
        <f t="shared" si="1"/>
        <v>169.9</v>
      </c>
    </row>
    <row r="8" spans="1:14" x14ac:dyDescent="0.25">
      <c r="A8"/>
      <c r="B8"/>
    </row>
    <row r="9" spans="1:14" x14ac:dyDescent="0.25">
      <c r="A9" t="s">
        <v>779</v>
      </c>
      <c r="B9"/>
      <c r="E9" s="5" t="s">
        <v>0</v>
      </c>
      <c r="F9" t="s">
        <v>773</v>
      </c>
      <c r="G9" t="s">
        <v>774</v>
      </c>
    </row>
    <row r="10" spans="1:14" x14ac:dyDescent="0.25">
      <c r="A10" s="12">
        <v>126965.89999999953</v>
      </c>
      <c r="B10"/>
      <c r="E10" s="6" t="s">
        <v>43</v>
      </c>
      <c r="F10">
        <v>61</v>
      </c>
      <c r="G10" s="9">
        <v>0.122</v>
      </c>
      <c r="J10" s="5" t="s">
        <v>791</v>
      </c>
      <c r="K10" t="s">
        <v>792</v>
      </c>
      <c r="L10"/>
      <c r="M10"/>
      <c r="N10"/>
    </row>
    <row r="11" spans="1:14" x14ac:dyDescent="0.25">
      <c r="E11" s="6" t="s">
        <v>20</v>
      </c>
      <c r="F11">
        <v>187</v>
      </c>
      <c r="G11" s="9">
        <v>0.374</v>
      </c>
      <c r="J11" s="6" t="s">
        <v>784</v>
      </c>
      <c r="K11" s="12">
        <v>16108.299999999985</v>
      </c>
      <c r="L11"/>
      <c r="M11"/>
      <c r="N11"/>
    </row>
    <row r="12" spans="1:14" x14ac:dyDescent="0.25">
      <c r="A12" s="5" t="s">
        <v>15</v>
      </c>
      <c r="B12" t="s">
        <v>768</v>
      </c>
      <c r="E12" s="6" t="s">
        <v>30</v>
      </c>
      <c r="F12">
        <v>252</v>
      </c>
      <c r="G12" s="9">
        <v>0.504</v>
      </c>
      <c r="J12" s="6" t="s">
        <v>785</v>
      </c>
      <c r="K12" s="12">
        <v>12396.899999999992</v>
      </c>
      <c r="L12"/>
      <c r="M12"/>
      <c r="N12"/>
    </row>
    <row r="13" spans="1:14" x14ac:dyDescent="0.25">
      <c r="E13" s="6" t="s">
        <v>767</v>
      </c>
      <c r="F13">
        <v>500</v>
      </c>
      <c r="G13" s="9">
        <v>1</v>
      </c>
      <c r="J13" s="6" t="s">
        <v>786</v>
      </c>
      <c r="K13" s="12">
        <v>16852.299999999981</v>
      </c>
      <c r="L13"/>
      <c r="M13"/>
      <c r="N13"/>
    </row>
    <row r="14" spans="1:14" x14ac:dyDescent="0.25">
      <c r="A14" t="s">
        <v>765</v>
      </c>
      <c r="B14"/>
      <c r="E14" s="6"/>
      <c r="F14"/>
      <c r="G14" s="9"/>
      <c r="J14" s="6" t="s">
        <v>787</v>
      </c>
      <c r="K14" s="12">
        <v>15845.399999999983</v>
      </c>
      <c r="L14"/>
      <c r="M14"/>
      <c r="N14"/>
    </row>
    <row r="15" spans="1:14" x14ac:dyDescent="0.25">
      <c r="A15" s="11">
        <v>287.53559999999851</v>
      </c>
      <c r="B15"/>
      <c r="E15" s="5" t="s">
        <v>0</v>
      </c>
      <c r="F15" t="s">
        <v>771</v>
      </c>
      <c r="G15" t="s">
        <v>772</v>
      </c>
      <c r="J15" s="6" t="s">
        <v>788</v>
      </c>
      <c r="K15" s="12">
        <v>11926.499999999993</v>
      </c>
      <c r="M15"/>
      <c r="N15"/>
    </row>
    <row r="16" spans="1:14" x14ac:dyDescent="0.25">
      <c r="E16" s="6" t="s">
        <v>21</v>
      </c>
      <c r="F16">
        <v>134</v>
      </c>
      <c r="G16" s="9">
        <v>0.26800000000000002</v>
      </c>
      <c r="J16" s="6" t="s">
        <v>789</v>
      </c>
      <c r="K16" s="12">
        <v>15337.399999999981</v>
      </c>
      <c r="M16"/>
      <c r="N16"/>
    </row>
    <row r="17" spans="1:14" x14ac:dyDescent="0.25">
      <c r="A17" s="7" t="s">
        <v>770</v>
      </c>
      <c r="B17" s="7" t="s">
        <v>781</v>
      </c>
      <c r="E17" s="8" t="s">
        <v>43</v>
      </c>
      <c r="F17">
        <v>3</v>
      </c>
      <c r="G17" s="9">
        <v>6.0000000000000001E-3</v>
      </c>
      <c r="J17" s="6" t="s">
        <v>790</v>
      </c>
      <c r="K17" s="12">
        <v>9159.9999999999945</v>
      </c>
      <c r="M17"/>
      <c r="N17"/>
    </row>
    <row r="18" spans="1:14" x14ac:dyDescent="0.25">
      <c r="A18" s="6" t="s">
        <v>76</v>
      </c>
      <c r="B18">
        <f>COUNTIF(sales!D:D,analytics!A18)</f>
        <v>25</v>
      </c>
      <c r="C18"/>
      <c r="E18" s="8" t="s">
        <v>20</v>
      </c>
      <c r="F18">
        <v>49</v>
      </c>
      <c r="G18" s="9">
        <v>9.8000000000000004E-2</v>
      </c>
      <c r="J18" s="6" t="s">
        <v>767</v>
      </c>
      <c r="K18" s="12">
        <v>97626.799999999916</v>
      </c>
      <c r="M18"/>
    </row>
    <row r="19" spans="1:14" x14ac:dyDescent="0.25">
      <c r="A19" s="6" t="s">
        <v>62</v>
      </c>
      <c r="B19">
        <f>COUNTIF(sales!D:D,analytics!A19)</f>
        <v>31</v>
      </c>
      <c r="C19"/>
      <c r="E19" s="8" t="s">
        <v>30</v>
      </c>
      <c r="F19">
        <v>82</v>
      </c>
      <c r="G19" s="9">
        <v>0.16400000000000001</v>
      </c>
      <c r="J19"/>
      <c r="K19"/>
      <c r="M19"/>
    </row>
    <row r="20" spans="1:14" x14ac:dyDescent="0.25">
      <c r="A20" s="6" t="s">
        <v>165</v>
      </c>
      <c r="B20">
        <f>COUNTIF(sales!D:D,analytics!A20)</f>
        <v>13</v>
      </c>
      <c r="C20"/>
      <c r="E20" s="6" t="s">
        <v>67</v>
      </c>
      <c r="F20">
        <v>38</v>
      </c>
      <c r="G20" s="9">
        <v>7.5999999999999998E-2</v>
      </c>
      <c r="J20"/>
      <c r="K20"/>
      <c r="M20"/>
    </row>
    <row r="21" spans="1:14" x14ac:dyDescent="0.25">
      <c r="A21" s="6" t="s">
        <v>36</v>
      </c>
      <c r="B21">
        <f>COUNTIF(sales!D:D,analytics!A21)</f>
        <v>58</v>
      </c>
      <c r="C21"/>
      <c r="E21" s="8" t="s">
        <v>43</v>
      </c>
      <c r="F21">
        <v>10</v>
      </c>
      <c r="G21" s="9">
        <v>0.02</v>
      </c>
      <c r="J21"/>
      <c r="K21"/>
      <c r="M21"/>
    </row>
    <row r="22" spans="1:14" x14ac:dyDescent="0.25">
      <c r="A22" s="6" t="s">
        <v>57</v>
      </c>
      <c r="B22">
        <f>COUNTIF(sales!D:D,analytics!A22)</f>
        <v>20</v>
      </c>
      <c r="C22"/>
      <c r="E22" s="8" t="s">
        <v>20</v>
      </c>
      <c r="F22">
        <v>12</v>
      </c>
      <c r="G22" s="9">
        <v>2.4E-2</v>
      </c>
      <c r="J22"/>
      <c r="K22"/>
      <c r="M22"/>
    </row>
    <row r="23" spans="1:14" x14ac:dyDescent="0.25">
      <c r="A23" s="6" t="s">
        <v>54</v>
      </c>
      <c r="B23">
        <f>COUNTIF(sales!D:D,analytics!A23)</f>
        <v>38</v>
      </c>
      <c r="C23"/>
      <c r="E23" s="8" t="s">
        <v>30</v>
      </c>
      <c r="F23">
        <v>16</v>
      </c>
      <c r="G23" s="9">
        <v>3.2000000000000001E-2</v>
      </c>
      <c r="J23"/>
      <c r="K23"/>
      <c r="M23"/>
    </row>
    <row r="24" spans="1:14" x14ac:dyDescent="0.25">
      <c r="A24" s="6" t="s">
        <v>1</v>
      </c>
      <c r="B24">
        <f>COUNTIF(sales!D:D,analytics!A24)</f>
        <v>68</v>
      </c>
      <c r="C24"/>
      <c r="E24" s="6" t="s">
        <v>27</v>
      </c>
      <c r="F24">
        <v>311</v>
      </c>
      <c r="G24" s="9">
        <v>0.622</v>
      </c>
      <c r="J24"/>
      <c r="K24"/>
      <c r="L24"/>
      <c r="M24"/>
    </row>
    <row r="25" spans="1:14" x14ac:dyDescent="0.25">
      <c r="A25" s="6" t="s">
        <v>39</v>
      </c>
      <c r="B25">
        <f>COUNTIF(sales!D:D,analytics!A25)</f>
        <v>41</v>
      </c>
      <c r="C25"/>
      <c r="E25" s="8" t="s">
        <v>43</v>
      </c>
      <c r="F25">
        <v>31</v>
      </c>
      <c r="G25" s="9">
        <v>6.2E-2</v>
      </c>
      <c r="J25"/>
      <c r="K25"/>
      <c r="L25"/>
      <c r="M25"/>
    </row>
    <row r="26" spans="1:14" x14ac:dyDescent="0.25">
      <c r="A26" s="6" t="s">
        <v>72</v>
      </c>
      <c r="B26">
        <f>COUNTIF(sales!D:D,analytics!A26)</f>
        <v>29</v>
      </c>
      <c r="C26"/>
      <c r="E26" s="8" t="s">
        <v>20</v>
      </c>
      <c r="F26">
        <v>126</v>
      </c>
      <c r="G26" s="9">
        <v>0.252</v>
      </c>
      <c r="J26"/>
      <c r="K26"/>
      <c r="L26"/>
      <c r="M26"/>
    </row>
    <row r="27" spans="1:14" x14ac:dyDescent="0.25">
      <c r="A27" s="6" t="s">
        <v>24</v>
      </c>
      <c r="B27">
        <f>COUNTIF(sales!D:D,analytics!A27)</f>
        <v>177</v>
      </c>
      <c r="C27"/>
      <c r="E27" s="8" t="s">
        <v>30</v>
      </c>
      <c r="F27">
        <v>154</v>
      </c>
      <c r="G27" s="9">
        <v>0.308</v>
      </c>
      <c r="H27"/>
      <c r="I27"/>
      <c r="J27"/>
      <c r="K27"/>
      <c r="L27"/>
      <c r="M27"/>
    </row>
    <row r="28" spans="1:14" x14ac:dyDescent="0.25">
      <c r="A28"/>
      <c r="B28"/>
      <c r="C28"/>
      <c r="E28" s="6" t="s">
        <v>44</v>
      </c>
      <c r="F28">
        <v>17</v>
      </c>
      <c r="G28" s="9">
        <v>3.4000000000000002E-2</v>
      </c>
      <c r="H28"/>
      <c r="I28"/>
      <c r="J28"/>
      <c r="K28"/>
      <c r="L28"/>
      <c r="M28"/>
    </row>
    <row r="29" spans="1:14" x14ac:dyDescent="0.25">
      <c r="A29"/>
      <c r="B29"/>
      <c r="C29"/>
      <c r="E29" s="8" t="s">
        <v>43</v>
      </c>
      <c r="F29">
        <v>17</v>
      </c>
      <c r="G29" s="9">
        <v>3.4000000000000002E-2</v>
      </c>
      <c r="H29"/>
      <c r="I29"/>
      <c r="J29"/>
      <c r="K29"/>
      <c r="L29"/>
      <c r="M29"/>
    </row>
    <row r="30" spans="1:14" x14ac:dyDescent="0.25">
      <c r="A30"/>
      <c r="B30"/>
      <c r="C30"/>
      <c r="E30" s="6" t="s">
        <v>767</v>
      </c>
      <c r="F30">
        <v>500</v>
      </c>
      <c r="G30" s="9">
        <v>1</v>
      </c>
      <c r="J30"/>
      <c r="K30"/>
      <c r="L30"/>
      <c r="M30"/>
    </row>
    <row r="31" spans="1:14" x14ac:dyDescent="0.25">
      <c r="A31"/>
      <c r="B31"/>
      <c r="C31"/>
      <c r="J31"/>
      <c r="K31"/>
      <c r="L31"/>
      <c r="M31"/>
    </row>
    <row r="32" spans="1:14" x14ac:dyDescent="0.25">
      <c r="A32"/>
      <c r="C32" s="4"/>
      <c r="E32" s="10" t="s">
        <v>775</v>
      </c>
      <c r="F32" s="10" t="s">
        <v>776</v>
      </c>
      <c r="G32" s="10" t="s">
        <v>777</v>
      </c>
      <c r="J32"/>
      <c r="K32"/>
      <c r="L32"/>
      <c r="M32"/>
    </row>
    <row r="33" spans="1:13" x14ac:dyDescent="0.25">
      <c r="E33" t="s">
        <v>19</v>
      </c>
      <c r="F33" s="3">
        <f>VLOOKUP(E33,sales!F:L,7,0)/VLOOKUP(E33,sales!F:G,2,0)</f>
        <v>89.9</v>
      </c>
      <c r="G33" s="2">
        <f t="shared" ref="G33:G45" si="2">_xlfn.RANK.EQ(F33,$F$33:$F$45,0)</f>
        <v>11</v>
      </c>
      <c r="J33"/>
      <c r="K33"/>
      <c r="L33"/>
      <c r="M33"/>
    </row>
    <row r="34" spans="1:13" x14ac:dyDescent="0.25">
      <c r="A34" s="5" t="s">
        <v>15</v>
      </c>
      <c r="B34" t="s">
        <v>768</v>
      </c>
      <c r="C34"/>
      <c r="E34" t="s">
        <v>26</v>
      </c>
      <c r="F34" s="3">
        <f>VLOOKUP(E34,sales!F:L,7,0)/VLOOKUP(E34,sales!F:G,2,0)</f>
        <v>94.9</v>
      </c>
      <c r="G34" s="2">
        <f t="shared" si="2"/>
        <v>9</v>
      </c>
      <c r="J34"/>
      <c r="K34"/>
      <c r="L34"/>
      <c r="M34"/>
    </row>
    <row r="35" spans="1:13" x14ac:dyDescent="0.25">
      <c r="A35"/>
      <c r="B35"/>
      <c r="C35"/>
      <c r="E35" t="s">
        <v>33</v>
      </c>
      <c r="F35" s="3">
        <f>VLOOKUP(E35,sales!F:L,7,0)/VLOOKUP(E35,sales!F:G,2,0)</f>
        <v>114.9</v>
      </c>
      <c r="G35" s="2">
        <f t="shared" si="2"/>
        <v>7</v>
      </c>
      <c r="H35"/>
      <c r="I35"/>
      <c r="J35"/>
      <c r="K35"/>
      <c r="L35"/>
      <c r="M35"/>
    </row>
    <row r="36" spans="1:13" x14ac:dyDescent="0.25">
      <c r="A36" s="5" t="s">
        <v>766</v>
      </c>
      <c r="B36" t="s">
        <v>769</v>
      </c>
      <c r="C36" t="s">
        <v>774</v>
      </c>
      <c r="E36" t="s">
        <v>40</v>
      </c>
      <c r="F36" s="3">
        <f>VLOOKUP(E36,sales!F:L,7,0)/VLOOKUP(E36,sales!F:G,2,0)</f>
        <v>94.9</v>
      </c>
      <c r="G36" s="2">
        <f t="shared" si="2"/>
        <v>9</v>
      </c>
      <c r="H36"/>
      <c r="I36"/>
      <c r="J36"/>
      <c r="K36"/>
      <c r="L36"/>
      <c r="M36"/>
    </row>
    <row r="37" spans="1:13" x14ac:dyDescent="0.25">
      <c r="A37" s="6" t="s">
        <v>18</v>
      </c>
      <c r="B37">
        <v>77</v>
      </c>
      <c r="C37" s="9">
        <v>0.10664819944598337</v>
      </c>
      <c r="E37" t="s">
        <v>47</v>
      </c>
      <c r="F37" s="3">
        <f>VLOOKUP(E37,sales!F:L,7,0)/VLOOKUP(E37,sales!F:G,2,0)</f>
        <v>107.9</v>
      </c>
      <c r="G37" s="2">
        <f t="shared" si="2"/>
        <v>8</v>
      </c>
      <c r="J37"/>
      <c r="K37"/>
      <c r="L37"/>
      <c r="M37"/>
    </row>
    <row r="38" spans="1:13" x14ac:dyDescent="0.25">
      <c r="A38" s="8" t="s">
        <v>222</v>
      </c>
      <c r="B38">
        <v>17</v>
      </c>
      <c r="C38" s="9">
        <v>2.3545706371191136E-2</v>
      </c>
      <c r="E38" t="s">
        <v>51</v>
      </c>
      <c r="F38" s="3">
        <f>VLOOKUP(E38,sales!F:L,7,0)/VLOOKUP(E38,sales!F:G,2,0)</f>
        <v>214.9</v>
      </c>
      <c r="G38" s="2">
        <f t="shared" si="2"/>
        <v>1</v>
      </c>
      <c r="J38"/>
      <c r="K38"/>
      <c r="L38"/>
      <c r="M38"/>
    </row>
    <row r="39" spans="1:13" x14ac:dyDescent="0.25">
      <c r="A39" s="8" t="s">
        <v>135</v>
      </c>
      <c r="B39">
        <v>24</v>
      </c>
      <c r="C39" s="9">
        <v>3.3240997229916899E-2</v>
      </c>
      <c r="E39" t="s">
        <v>59</v>
      </c>
      <c r="F39" s="3">
        <f>VLOOKUP(E39,sales!F:L,7,0)/VLOOKUP(E39,sales!F:G,2,0)</f>
        <v>169.9</v>
      </c>
      <c r="G39" s="2">
        <f t="shared" si="2"/>
        <v>5</v>
      </c>
      <c r="J39"/>
      <c r="K39"/>
      <c r="L39"/>
      <c r="M39"/>
    </row>
    <row r="40" spans="1:13" x14ac:dyDescent="0.25">
      <c r="A40" s="8" t="s">
        <v>19</v>
      </c>
      <c r="B40">
        <v>36</v>
      </c>
      <c r="C40" s="9">
        <v>4.9861495844875349E-2</v>
      </c>
      <c r="E40" t="s">
        <v>73</v>
      </c>
      <c r="F40" s="3">
        <f>VLOOKUP(E40,sales!F:L,7,0)/VLOOKUP(E40,sales!F:G,2,0)</f>
        <v>149.9</v>
      </c>
      <c r="G40" s="2">
        <f t="shared" si="2"/>
        <v>6</v>
      </c>
      <c r="J40"/>
      <c r="K40"/>
      <c r="L40"/>
      <c r="M40"/>
    </row>
    <row r="41" spans="1:13" x14ac:dyDescent="0.25">
      <c r="A41" s="6" t="s">
        <v>58</v>
      </c>
      <c r="B41">
        <v>149</v>
      </c>
      <c r="C41" s="9">
        <v>0.20637119113573407</v>
      </c>
      <c r="E41" t="s">
        <v>77</v>
      </c>
      <c r="F41" s="3">
        <f>VLOOKUP(E41,sales!F:L,7,0)/VLOOKUP(E41,sales!F:G,2,0)</f>
        <v>194.9</v>
      </c>
      <c r="G41" s="2">
        <f t="shared" si="2"/>
        <v>2</v>
      </c>
      <c r="J41"/>
      <c r="K41"/>
      <c r="L41"/>
      <c r="M41"/>
    </row>
    <row r="42" spans="1:13" x14ac:dyDescent="0.25">
      <c r="A42" s="8" t="s">
        <v>59</v>
      </c>
      <c r="B42">
        <v>38</v>
      </c>
      <c r="C42" s="9">
        <v>5.2631578947368418E-2</v>
      </c>
      <c r="E42" t="s">
        <v>84</v>
      </c>
      <c r="F42" s="3">
        <f>VLOOKUP(E42,sales!F:L,7,0)/VLOOKUP(E42,sales!F:G,2,0)</f>
        <v>177.9</v>
      </c>
      <c r="G42" s="2">
        <f t="shared" si="2"/>
        <v>4</v>
      </c>
      <c r="H42"/>
      <c r="I42"/>
      <c r="J42"/>
      <c r="K42"/>
      <c r="L42"/>
      <c r="M42"/>
    </row>
    <row r="43" spans="1:13" x14ac:dyDescent="0.25">
      <c r="A43" s="8" t="s">
        <v>95</v>
      </c>
      <c r="B43">
        <v>54</v>
      </c>
      <c r="C43" s="9">
        <v>7.4792243767313013E-2</v>
      </c>
      <c r="E43" t="s">
        <v>95</v>
      </c>
      <c r="F43" s="3">
        <f>VLOOKUP(E43,sales!F:L,7,0)/VLOOKUP(E43,sales!F:G,2,0)</f>
        <v>189.9</v>
      </c>
      <c r="G43" s="2">
        <f t="shared" si="2"/>
        <v>3</v>
      </c>
      <c r="H43"/>
      <c r="I43"/>
      <c r="J43"/>
      <c r="K43"/>
      <c r="L43"/>
      <c r="M43"/>
    </row>
    <row r="44" spans="1:13" x14ac:dyDescent="0.25">
      <c r="A44" s="8" t="s">
        <v>73</v>
      </c>
      <c r="B44">
        <v>57</v>
      </c>
      <c r="C44" s="9">
        <v>7.8947368421052627E-2</v>
      </c>
      <c r="E44" t="s">
        <v>135</v>
      </c>
      <c r="F44" s="3">
        <f>VLOOKUP(E44,sales!F:L,7,0)/VLOOKUP(E44,sales!F:G,2,0)</f>
        <v>64.900000000000006</v>
      </c>
      <c r="G44" s="2">
        <f t="shared" si="2"/>
        <v>12</v>
      </c>
      <c r="H44"/>
      <c r="I44"/>
      <c r="J44"/>
      <c r="K44"/>
      <c r="L44"/>
      <c r="M44"/>
    </row>
    <row r="45" spans="1:13" x14ac:dyDescent="0.25">
      <c r="A45" s="6" t="s">
        <v>25</v>
      </c>
      <c r="B45">
        <v>331</v>
      </c>
      <c r="C45" s="9">
        <v>0.45844875346260389</v>
      </c>
      <c r="E45" t="s">
        <v>222</v>
      </c>
      <c r="F45" s="3">
        <f>VLOOKUP(E45,sales!F:L,7,0)/VLOOKUP(E45,sales!F:G,2,0)</f>
        <v>57.9</v>
      </c>
      <c r="G45" s="2">
        <f t="shared" si="2"/>
        <v>13</v>
      </c>
      <c r="H45"/>
      <c r="I45"/>
      <c r="J45"/>
      <c r="K45"/>
      <c r="L45"/>
      <c r="M45"/>
    </row>
    <row r="46" spans="1:13" x14ac:dyDescent="0.25">
      <c r="A46" s="8" t="s">
        <v>33</v>
      </c>
      <c r="B46">
        <v>89</v>
      </c>
      <c r="C46" s="9">
        <v>0.12326869806094183</v>
      </c>
      <c r="H46"/>
      <c r="I46"/>
      <c r="J46"/>
      <c r="K46"/>
      <c r="L46"/>
      <c r="M46"/>
    </row>
    <row r="47" spans="1:13" x14ac:dyDescent="0.25">
      <c r="A47" s="8" t="s">
        <v>47</v>
      </c>
      <c r="B47">
        <v>87</v>
      </c>
      <c r="C47" s="9">
        <v>0.12049861495844875</v>
      </c>
      <c r="H47"/>
      <c r="I47"/>
      <c r="J47"/>
      <c r="K47"/>
      <c r="L47"/>
      <c r="M47"/>
    </row>
    <row r="48" spans="1:13" x14ac:dyDescent="0.25">
      <c r="A48" s="8" t="s">
        <v>40</v>
      </c>
      <c r="B48">
        <v>73</v>
      </c>
      <c r="C48" s="9">
        <v>0.10110803324099724</v>
      </c>
      <c r="E48"/>
      <c r="H48"/>
      <c r="I48"/>
      <c r="J48"/>
      <c r="K48"/>
      <c r="L48"/>
      <c r="M48"/>
    </row>
    <row r="49" spans="1:13" x14ac:dyDescent="0.25">
      <c r="A49" s="8" t="s">
        <v>26</v>
      </c>
      <c r="B49">
        <v>82</v>
      </c>
      <c r="C49" s="9">
        <v>0.11357340720221606</v>
      </c>
      <c r="E49" s="5" t="s">
        <v>0</v>
      </c>
      <c r="F49" t="s">
        <v>782</v>
      </c>
      <c r="G49" t="s">
        <v>780</v>
      </c>
      <c r="H49"/>
      <c r="I49"/>
      <c r="J49"/>
      <c r="K49"/>
      <c r="L49"/>
      <c r="M49"/>
    </row>
    <row r="50" spans="1:13" x14ac:dyDescent="0.25">
      <c r="A50" s="6" t="s">
        <v>50</v>
      </c>
      <c r="B50">
        <v>165</v>
      </c>
      <c r="C50" s="9">
        <v>0.22853185595567868</v>
      </c>
      <c r="E50" s="6" t="s">
        <v>18</v>
      </c>
      <c r="F50" s="12">
        <v>5778.2999999999975</v>
      </c>
      <c r="G50" s="9">
        <v>5.9187641098550708E-2</v>
      </c>
      <c r="H50"/>
      <c r="I50"/>
      <c r="J50"/>
      <c r="K50"/>
      <c r="L50"/>
      <c r="M50"/>
    </row>
    <row r="51" spans="1:13" x14ac:dyDescent="0.25">
      <c r="A51" s="8" t="s">
        <v>51</v>
      </c>
      <c r="B51">
        <v>60</v>
      </c>
      <c r="C51" s="9">
        <v>8.3102493074792241E-2</v>
      </c>
      <c r="E51" s="6" t="s">
        <v>58</v>
      </c>
      <c r="F51" s="12">
        <v>25255.100000000009</v>
      </c>
      <c r="G51" s="9">
        <v>0.25869023669730012</v>
      </c>
      <c r="H51"/>
      <c r="I51"/>
      <c r="J51"/>
      <c r="K51"/>
      <c r="L51"/>
      <c r="M51"/>
    </row>
    <row r="52" spans="1:13" x14ac:dyDescent="0.25">
      <c r="A52" s="8" t="s">
        <v>77</v>
      </c>
      <c r="B52">
        <v>41</v>
      </c>
      <c r="C52" s="9">
        <v>5.6786703601108032E-2</v>
      </c>
      <c r="E52" s="6" t="s">
        <v>25</v>
      </c>
      <c r="F52" s="12">
        <v>34322.900000000074</v>
      </c>
      <c r="G52" s="9">
        <v>0.35157251902141656</v>
      </c>
      <c r="H52"/>
      <c r="I52"/>
      <c r="J52"/>
      <c r="K52"/>
      <c r="L52"/>
      <c r="M52"/>
    </row>
    <row r="53" spans="1:13" x14ac:dyDescent="0.25">
      <c r="A53" s="8" t="s">
        <v>84</v>
      </c>
      <c r="B53">
        <v>64</v>
      </c>
      <c r="C53" s="9">
        <v>8.8642659279778394E-2</v>
      </c>
      <c r="E53" s="6" t="s">
        <v>50</v>
      </c>
      <c r="F53" s="12">
        <v>32270.500000000033</v>
      </c>
      <c r="G53" s="9">
        <v>0.33054960318273252</v>
      </c>
      <c r="H53"/>
      <c r="I53"/>
      <c r="J53"/>
      <c r="K53"/>
      <c r="L53"/>
      <c r="M53"/>
    </row>
    <row r="54" spans="1:13" x14ac:dyDescent="0.25">
      <c r="A54" s="6" t="s">
        <v>767</v>
      </c>
      <c r="B54">
        <v>722</v>
      </c>
      <c r="C54" s="9">
        <v>1</v>
      </c>
      <c r="E54" s="6" t="s">
        <v>767</v>
      </c>
      <c r="F54" s="12">
        <v>97626.800000000119</v>
      </c>
      <c r="G54" s="9">
        <v>1</v>
      </c>
      <c r="H54"/>
      <c r="I54"/>
      <c r="J54"/>
      <c r="K54"/>
      <c r="L54"/>
      <c r="M54"/>
    </row>
    <row r="55" spans="1:13" x14ac:dyDescent="0.25">
      <c r="E55"/>
      <c r="F55"/>
      <c r="G55"/>
      <c r="H55"/>
      <c r="I55"/>
      <c r="J55"/>
      <c r="K55"/>
      <c r="L55"/>
      <c r="M55"/>
    </row>
    <row r="56" spans="1:13" x14ac:dyDescent="0.25">
      <c r="E56"/>
      <c r="F56"/>
      <c r="G56"/>
      <c r="H56"/>
      <c r="I56"/>
      <c r="J56"/>
      <c r="K56"/>
      <c r="L56"/>
      <c r="M56"/>
    </row>
    <row r="57" spans="1:13" x14ac:dyDescent="0.25">
      <c r="E57"/>
      <c r="F57"/>
      <c r="G57"/>
      <c r="H57"/>
      <c r="I57"/>
      <c r="J57"/>
      <c r="K57"/>
      <c r="L57"/>
      <c r="M57"/>
    </row>
    <row r="58" spans="1:13" x14ac:dyDescent="0.25">
      <c r="E58"/>
      <c r="F58"/>
      <c r="G58"/>
      <c r="H58"/>
      <c r="I58"/>
      <c r="J58"/>
      <c r="K58"/>
      <c r="L58"/>
      <c r="M58"/>
    </row>
    <row r="59" spans="1:13" x14ac:dyDescent="0.25">
      <c r="A59"/>
      <c r="E59"/>
      <c r="F59"/>
      <c r="G59"/>
      <c r="H59"/>
      <c r="I59"/>
      <c r="J59"/>
      <c r="K59"/>
      <c r="L59"/>
      <c r="M59"/>
    </row>
    <row r="60" spans="1:13" x14ac:dyDescent="0.25">
      <c r="A60"/>
      <c r="E60"/>
      <c r="F60"/>
      <c r="G60"/>
      <c r="H60"/>
      <c r="I60"/>
      <c r="J60"/>
      <c r="K60"/>
      <c r="L60"/>
      <c r="M60"/>
    </row>
    <row r="61" spans="1:13" hidden="1" x14ac:dyDescent="0.25">
      <c r="A61"/>
      <c r="E61"/>
      <c r="F61"/>
      <c r="G61"/>
      <c r="H61"/>
      <c r="I61"/>
      <c r="J61"/>
      <c r="K61"/>
      <c r="L61"/>
      <c r="M61"/>
    </row>
    <row r="62" spans="1:13" hidden="1" x14ac:dyDescent="0.25">
      <c r="A62"/>
      <c r="E62"/>
      <c r="F62"/>
      <c r="G62"/>
      <c r="H62"/>
      <c r="I62"/>
      <c r="J62"/>
      <c r="K62"/>
      <c r="L62"/>
      <c r="M62"/>
    </row>
    <row r="63" spans="1:13" hidden="1" x14ac:dyDescent="0.25">
      <c r="A63"/>
      <c r="E63"/>
      <c r="F63"/>
      <c r="G63"/>
      <c r="H63"/>
      <c r="I63"/>
      <c r="J63"/>
      <c r="K63"/>
      <c r="L63"/>
      <c r="M63"/>
    </row>
    <row r="64" spans="1:13" hidden="1" x14ac:dyDescent="0.25">
      <c r="A64"/>
      <c r="E64"/>
      <c r="F64"/>
      <c r="G64"/>
      <c r="H64"/>
      <c r="I64"/>
      <c r="J64"/>
      <c r="K64"/>
      <c r="L64"/>
      <c r="M64"/>
    </row>
    <row r="65" spans="1:13" hidden="1" x14ac:dyDescent="0.25">
      <c r="A65"/>
      <c r="E65"/>
      <c r="F65"/>
      <c r="G65"/>
      <c r="H65"/>
      <c r="I65"/>
      <c r="J65"/>
      <c r="K65"/>
      <c r="L65"/>
      <c r="M65"/>
    </row>
    <row r="66" spans="1:13" hidden="1" x14ac:dyDescent="0.25">
      <c r="A66"/>
      <c r="E66"/>
      <c r="H66"/>
      <c r="I66"/>
      <c r="J66"/>
      <c r="K66"/>
      <c r="L66"/>
      <c r="M66"/>
    </row>
    <row r="67" spans="1:13" hidden="1" x14ac:dyDescent="0.25">
      <c r="A67"/>
      <c r="E67"/>
      <c r="H67"/>
      <c r="I67"/>
      <c r="J67"/>
      <c r="K67"/>
      <c r="L67"/>
      <c r="M67"/>
    </row>
    <row r="68" spans="1:13" hidden="1" x14ac:dyDescent="0.25">
      <c r="A68"/>
      <c r="E68"/>
      <c r="H68"/>
      <c r="I68"/>
      <c r="J68"/>
      <c r="K68"/>
      <c r="L68"/>
      <c r="M68"/>
    </row>
    <row r="69" spans="1:13" hidden="1" x14ac:dyDescent="0.25">
      <c r="A69"/>
      <c r="E69"/>
      <c r="H69"/>
      <c r="I69"/>
      <c r="J69"/>
      <c r="K69"/>
      <c r="L69"/>
      <c r="M69"/>
    </row>
    <row r="70" spans="1:13" hidden="1" x14ac:dyDescent="0.25">
      <c r="A70"/>
      <c r="E70"/>
      <c r="H70"/>
      <c r="I70"/>
      <c r="J70"/>
      <c r="K70"/>
      <c r="L70"/>
      <c r="M70"/>
    </row>
    <row r="71" spans="1:13" hidden="1" x14ac:dyDescent="0.25">
      <c r="A71"/>
      <c r="E71"/>
      <c r="H71"/>
      <c r="I71"/>
      <c r="J71"/>
      <c r="K71"/>
      <c r="L71"/>
      <c r="M71"/>
    </row>
    <row r="72" spans="1:13" hidden="1" x14ac:dyDescent="0.25">
      <c r="A72"/>
      <c r="E72"/>
      <c r="H72"/>
      <c r="I72"/>
      <c r="J72"/>
      <c r="K72"/>
      <c r="L72"/>
      <c r="M72"/>
    </row>
    <row r="73" spans="1:13" hidden="1" x14ac:dyDescent="0.25">
      <c r="A73"/>
      <c r="E73"/>
      <c r="H73"/>
      <c r="I73"/>
      <c r="J73"/>
      <c r="K73"/>
      <c r="L73"/>
      <c r="M73"/>
    </row>
    <row r="74" spans="1:13" hidden="1" x14ac:dyDescent="0.25">
      <c r="A74"/>
      <c r="E74"/>
      <c r="H74"/>
      <c r="I74"/>
      <c r="J74"/>
      <c r="K74"/>
      <c r="L74"/>
      <c r="M74"/>
    </row>
    <row r="75" spans="1:13" hidden="1" x14ac:dyDescent="0.25">
      <c r="A75"/>
      <c r="E75"/>
      <c r="H75"/>
      <c r="I75"/>
      <c r="J75"/>
      <c r="K75"/>
      <c r="L75"/>
      <c r="M75"/>
    </row>
    <row r="76" spans="1:13" hidden="1" x14ac:dyDescent="0.25">
      <c r="A76"/>
      <c r="E76"/>
      <c r="H76"/>
      <c r="I76"/>
      <c r="J76"/>
      <c r="K76"/>
      <c r="L76"/>
      <c r="M76"/>
    </row>
    <row r="77" spans="1:13" hidden="1" x14ac:dyDescent="0.25">
      <c r="A77"/>
      <c r="E77"/>
      <c r="H77"/>
      <c r="I77"/>
      <c r="J77"/>
      <c r="K77"/>
      <c r="L77"/>
      <c r="M77"/>
    </row>
    <row r="78" spans="1:13" hidden="1" x14ac:dyDescent="0.25">
      <c r="A78"/>
      <c r="E78"/>
      <c r="H78"/>
      <c r="I78"/>
      <c r="J78"/>
      <c r="K78"/>
      <c r="L78"/>
      <c r="M78"/>
    </row>
    <row r="79" spans="1:13" hidden="1" x14ac:dyDescent="0.25">
      <c r="A79"/>
      <c r="E79"/>
      <c r="H79"/>
      <c r="I79"/>
      <c r="J79"/>
      <c r="K79"/>
      <c r="L79"/>
      <c r="M79"/>
    </row>
    <row r="80" spans="1:13" hidden="1" x14ac:dyDescent="0.25">
      <c r="A80"/>
      <c r="E80"/>
      <c r="H80"/>
      <c r="I80"/>
      <c r="J80"/>
      <c r="K80"/>
      <c r="L80"/>
      <c r="M80"/>
    </row>
    <row r="81" spans="1:13" hidden="1" x14ac:dyDescent="0.25">
      <c r="A81"/>
      <c r="E81"/>
      <c r="H81"/>
      <c r="I81"/>
      <c r="J81"/>
      <c r="K81"/>
      <c r="L81"/>
      <c r="M81"/>
    </row>
    <row r="82" spans="1:13" hidden="1" x14ac:dyDescent="0.25">
      <c r="A82"/>
      <c r="E82"/>
      <c r="H82"/>
      <c r="I82"/>
      <c r="J82"/>
      <c r="K82"/>
      <c r="L82"/>
      <c r="M82"/>
    </row>
    <row r="83" spans="1:13" hidden="1" x14ac:dyDescent="0.25">
      <c r="A83"/>
      <c r="E83"/>
      <c r="H83"/>
      <c r="I83"/>
      <c r="J83"/>
      <c r="K83"/>
      <c r="L83"/>
      <c r="M83"/>
    </row>
    <row r="84" spans="1:13" hidden="1" x14ac:dyDescent="0.25">
      <c r="A84"/>
      <c r="E84"/>
      <c r="H84"/>
      <c r="I84"/>
      <c r="J84"/>
      <c r="K84"/>
      <c r="L84"/>
      <c r="M84"/>
    </row>
    <row r="85" spans="1:13" hidden="1" x14ac:dyDescent="0.25">
      <c r="A85"/>
      <c r="E85"/>
      <c r="H85"/>
      <c r="I85"/>
      <c r="J85"/>
      <c r="K85"/>
      <c r="L85"/>
      <c r="M85"/>
    </row>
    <row r="86" spans="1:13" hidden="1" x14ac:dyDescent="0.25">
      <c r="A86"/>
      <c r="E86"/>
      <c r="H86"/>
      <c r="I86"/>
      <c r="J86"/>
      <c r="K86"/>
      <c r="L86"/>
      <c r="M86"/>
    </row>
    <row r="87" spans="1:13" hidden="1" x14ac:dyDescent="0.25">
      <c r="A87"/>
      <c r="E87"/>
      <c r="H87"/>
      <c r="I87"/>
      <c r="J87"/>
      <c r="K87"/>
      <c r="L87"/>
      <c r="M87"/>
    </row>
    <row r="88" spans="1:13" hidden="1" x14ac:dyDescent="0.25">
      <c r="A88"/>
      <c r="E88"/>
      <c r="H88"/>
      <c r="I88"/>
      <c r="J88"/>
      <c r="K88"/>
      <c r="L88"/>
      <c r="M88"/>
    </row>
    <row r="89" spans="1:13" hidden="1" x14ac:dyDescent="0.25">
      <c r="A89"/>
      <c r="E89"/>
      <c r="H89"/>
      <c r="I89"/>
      <c r="J89"/>
      <c r="K89"/>
      <c r="L89"/>
      <c r="M89"/>
    </row>
    <row r="90" spans="1:13" hidden="1" x14ac:dyDescent="0.25">
      <c r="A90"/>
      <c r="E90"/>
      <c r="H90"/>
      <c r="I90"/>
      <c r="J90"/>
      <c r="K90"/>
      <c r="L90"/>
      <c r="M90"/>
    </row>
    <row r="91" spans="1:13" hidden="1" x14ac:dyDescent="0.25">
      <c r="A91"/>
      <c r="E91"/>
      <c r="H91"/>
      <c r="I91"/>
      <c r="J91"/>
      <c r="K91"/>
      <c r="L91"/>
      <c r="M91"/>
    </row>
    <row r="92" spans="1:13" hidden="1" x14ac:dyDescent="0.25">
      <c r="A92"/>
      <c r="E92"/>
      <c r="H92"/>
      <c r="I92"/>
      <c r="J92"/>
      <c r="K92"/>
      <c r="L92"/>
      <c r="M92"/>
    </row>
    <row r="93" spans="1:13" hidden="1" x14ac:dyDescent="0.25">
      <c r="A93"/>
      <c r="E93"/>
      <c r="H93"/>
      <c r="I93"/>
      <c r="J93"/>
      <c r="K93"/>
      <c r="L93"/>
      <c r="M93"/>
    </row>
    <row r="94" spans="1:13" hidden="1" x14ac:dyDescent="0.25">
      <c r="A94"/>
      <c r="E94"/>
      <c r="H94"/>
      <c r="I94"/>
      <c r="J94"/>
      <c r="K94"/>
      <c r="L94"/>
      <c r="M94"/>
    </row>
    <row r="95" spans="1:13" hidden="1" x14ac:dyDescent="0.25">
      <c r="A95"/>
      <c r="E95"/>
      <c r="H95"/>
      <c r="I95"/>
      <c r="J95"/>
      <c r="K95"/>
      <c r="L95"/>
      <c r="M95"/>
    </row>
    <row r="96" spans="1:13" hidden="1" x14ac:dyDescent="0.25">
      <c r="A96"/>
      <c r="E96"/>
      <c r="H96"/>
      <c r="I96"/>
      <c r="J96"/>
      <c r="K96"/>
      <c r="L96"/>
      <c r="M96"/>
    </row>
    <row r="97" spans="1:13" hidden="1" x14ac:dyDescent="0.25">
      <c r="A97"/>
      <c r="E97"/>
      <c r="H97"/>
      <c r="I97"/>
      <c r="J97"/>
      <c r="K97"/>
      <c r="L97"/>
      <c r="M97"/>
    </row>
    <row r="98" spans="1:13" hidden="1" x14ac:dyDescent="0.25">
      <c r="A98"/>
      <c r="E98"/>
      <c r="H98"/>
      <c r="I98"/>
      <c r="J98"/>
      <c r="K98"/>
      <c r="L98"/>
      <c r="M98"/>
    </row>
    <row r="99" spans="1:13" hidden="1" x14ac:dyDescent="0.25">
      <c r="A99"/>
      <c r="E99"/>
      <c r="H99"/>
      <c r="I99"/>
      <c r="J99"/>
      <c r="K99"/>
      <c r="L99"/>
      <c r="M99"/>
    </row>
    <row r="100" spans="1:13" hidden="1" x14ac:dyDescent="0.25">
      <c r="A100"/>
      <c r="E100"/>
      <c r="H100"/>
      <c r="I100"/>
      <c r="J100"/>
      <c r="K100"/>
      <c r="L100"/>
      <c r="M100"/>
    </row>
    <row r="101" spans="1:13" hidden="1" x14ac:dyDescent="0.25">
      <c r="A101"/>
      <c r="E101"/>
      <c r="H101"/>
      <c r="I101"/>
      <c r="J101"/>
      <c r="K101"/>
      <c r="L101"/>
      <c r="M101"/>
    </row>
    <row r="102" spans="1:13" hidden="1" x14ac:dyDescent="0.25">
      <c r="A102"/>
      <c r="E102"/>
      <c r="H102"/>
      <c r="I102"/>
      <c r="J102"/>
      <c r="K102"/>
      <c r="L102"/>
      <c r="M102"/>
    </row>
    <row r="103" spans="1:13" hidden="1" x14ac:dyDescent="0.25">
      <c r="A103"/>
      <c r="E103"/>
      <c r="H103"/>
      <c r="I103"/>
      <c r="J103"/>
      <c r="K103"/>
      <c r="L103"/>
      <c r="M103"/>
    </row>
    <row r="104" spans="1:13" hidden="1" x14ac:dyDescent="0.25">
      <c r="A104"/>
      <c r="E104"/>
      <c r="H104"/>
      <c r="I104"/>
      <c r="J104"/>
      <c r="K104"/>
      <c r="L104"/>
      <c r="M104"/>
    </row>
    <row r="105" spans="1:13" hidden="1" x14ac:dyDescent="0.25">
      <c r="A105"/>
      <c r="E105"/>
      <c r="H105"/>
      <c r="I105"/>
      <c r="J105"/>
      <c r="K105"/>
      <c r="L105"/>
      <c r="M105"/>
    </row>
    <row r="106" spans="1:13" hidden="1" x14ac:dyDescent="0.25">
      <c r="A106"/>
      <c r="E106"/>
      <c r="H106"/>
      <c r="I106"/>
      <c r="J106"/>
      <c r="K106"/>
      <c r="L106"/>
      <c r="M106"/>
    </row>
    <row r="107" spans="1:13" hidden="1" x14ac:dyDescent="0.25">
      <c r="A107"/>
      <c r="E107"/>
      <c r="H107"/>
      <c r="I107"/>
      <c r="J107"/>
      <c r="K107"/>
      <c r="L107"/>
      <c r="M107"/>
    </row>
    <row r="108" spans="1:13" hidden="1" x14ac:dyDescent="0.25">
      <c r="A108"/>
      <c r="E108"/>
      <c r="H108"/>
      <c r="I108"/>
      <c r="J108"/>
      <c r="K108"/>
      <c r="L108"/>
      <c r="M108"/>
    </row>
    <row r="109" spans="1:13" hidden="1" x14ac:dyDescent="0.25">
      <c r="A109"/>
      <c r="E109"/>
      <c r="H109"/>
      <c r="I109"/>
      <c r="J109"/>
      <c r="K109"/>
      <c r="L109"/>
      <c r="M109"/>
    </row>
    <row r="110" spans="1:13" hidden="1" x14ac:dyDescent="0.25">
      <c r="A110"/>
      <c r="E110"/>
      <c r="H110"/>
      <c r="I110"/>
      <c r="J110"/>
      <c r="K110"/>
      <c r="L110"/>
      <c r="M110"/>
    </row>
    <row r="111" spans="1:13" hidden="1" x14ac:dyDescent="0.25">
      <c r="A111"/>
      <c r="E111"/>
      <c r="H111"/>
      <c r="I111"/>
      <c r="J111"/>
      <c r="K111"/>
      <c r="L111"/>
      <c r="M111"/>
    </row>
    <row r="112" spans="1:13" hidden="1" x14ac:dyDescent="0.25">
      <c r="A112"/>
      <c r="E112"/>
      <c r="H112"/>
      <c r="I112"/>
      <c r="J112"/>
      <c r="K112"/>
      <c r="L112"/>
      <c r="M112"/>
    </row>
    <row r="113" spans="1:13" hidden="1" x14ac:dyDescent="0.25">
      <c r="A113"/>
      <c r="E113"/>
      <c r="H113"/>
      <c r="I113"/>
      <c r="J113"/>
      <c r="K113"/>
      <c r="L113"/>
      <c r="M113"/>
    </row>
    <row r="114" spans="1:13" hidden="1" x14ac:dyDescent="0.25">
      <c r="A114"/>
      <c r="E114"/>
      <c r="H114"/>
      <c r="I114"/>
      <c r="J114"/>
      <c r="K114"/>
      <c r="L114"/>
      <c r="M114"/>
    </row>
    <row r="115" spans="1:13" hidden="1" x14ac:dyDescent="0.25">
      <c r="A115"/>
      <c r="E115"/>
      <c r="H115"/>
      <c r="I115"/>
      <c r="J115"/>
      <c r="K115"/>
      <c r="L115"/>
      <c r="M115"/>
    </row>
    <row r="116" spans="1:13" hidden="1" x14ac:dyDescent="0.25">
      <c r="A116"/>
      <c r="E116"/>
      <c r="H116"/>
      <c r="I116"/>
      <c r="J116"/>
      <c r="K116"/>
      <c r="L116"/>
      <c r="M116"/>
    </row>
    <row r="117" spans="1:13" hidden="1" x14ac:dyDescent="0.25">
      <c r="A117"/>
      <c r="E117"/>
      <c r="H117"/>
      <c r="I117"/>
      <c r="J117"/>
      <c r="K117"/>
      <c r="L117"/>
      <c r="M117"/>
    </row>
    <row r="118" spans="1:13" hidden="1" x14ac:dyDescent="0.25">
      <c r="A118"/>
      <c r="E118"/>
      <c r="H118"/>
      <c r="I118"/>
      <c r="J118"/>
      <c r="K118"/>
      <c r="L118"/>
      <c r="M118"/>
    </row>
    <row r="119" spans="1:13" hidden="1" x14ac:dyDescent="0.25">
      <c r="A119"/>
      <c r="E119"/>
      <c r="H119"/>
      <c r="I119"/>
      <c r="J119"/>
      <c r="K119"/>
      <c r="L119"/>
      <c r="M119"/>
    </row>
    <row r="120" spans="1:13" hidden="1" x14ac:dyDescent="0.25">
      <c r="A120"/>
      <c r="E120"/>
      <c r="H120"/>
      <c r="I120"/>
      <c r="J120"/>
      <c r="K120"/>
      <c r="L120"/>
      <c r="M120"/>
    </row>
    <row r="121" spans="1:13" hidden="1" x14ac:dyDescent="0.25">
      <c r="A121"/>
      <c r="E121"/>
      <c r="H121"/>
      <c r="I121"/>
      <c r="J121"/>
      <c r="K121"/>
      <c r="L121"/>
      <c r="M121"/>
    </row>
    <row r="122" spans="1:13" hidden="1" x14ac:dyDescent="0.25">
      <c r="A122"/>
      <c r="E122"/>
      <c r="H122"/>
      <c r="I122"/>
      <c r="J122"/>
      <c r="K122"/>
      <c r="L122"/>
      <c r="M122"/>
    </row>
    <row r="123" spans="1:13" hidden="1" x14ac:dyDescent="0.25">
      <c r="A123"/>
      <c r="E123"/>
      <c r="H123"/>
      <c r="I123"/>
      <c r="J123"/>
      <c r="K123"/>
      <c r="L123"/>
      <c r="M123"/>
    </row>
    <row r="124" spans="1:13" hidden="1" x14ac:dyDescent="0.25">
      <c r="A124"/>
      <c r="E124"/>
      <c r="H124"/>
      <c r="I124"/>
      <c r="J124"/>
      <c r="K124"/>
      <c r="L124"/>
      <c r="M124"/>
    </row>
    <row r="125" spans="1:13" hidden="1" x14ac:dyDescent="0.25">
      <c r="A125"/>
      <c r="E125"/>
      <c r="H125"/>
      <c r="I125"/>
      <c r="J125"/>
      <c r="K125"/>
      <c r="L125"/>
      <c r="M125"/>
    </row>
    <row r="126" spans="1:13" hidden="1" x14ac:dyDescent="0.25">
      <c r="A126"/>
      <c r="E126"/>
      <c r="H126"/>
      <c r="I126"/>
      <c r="J126"/>
      <c r="K126"/>
      <c r="L126"/>
      <c r="M126"/>
    </row>
    <row r="127" spans="1:13" hidden="1" x14ac:dyDescent="0.25">
      <c r="A127"/>
      <c r="E127"/>
      <c r="H127"/>
      <c r="I127"/>
      <c r="J127"/>
      <c r="K127"/>
      <c r="L127"/>
      <c r="M127"/>
    </row>
    <row r="128" spans="1:13" hidden="1" x14ac:dyDescent="0.25">
      <c r="A128"/>
      <c r="E128"/>
      <c r="H128"/>
      <c r="I128"/>
      <c r="J128"/>
      <c r="K128"/>
      <c r="L128"/>
      <c r="M128"/>
    </row>
    <row r="129" spans="1:13" hidden="1" x14ac:dyDescent="0.25">
      <c r="A129"/>
      <c r="E129"/>
      <c r="H129"/>
      <c r="I129"/>
      <c r="J129"/>
      <c r="K129"/>
      <c r="L129"/>
      <c r="M129"/>
    </row>
    <row r="130" spans="1:13" hidden="1" x14ac:dyDescent="0.25">
      <c r="A130"/>
      <c r="E130"/>
      <c r="H130"/>
      <c r="I130"/>
      <c r="J130"/>
      <c r="K130"/>
      <c r="L130"/>
      <c r="M130"/>
    </row>
    <row r="131" spans="1:13" hidden="1" x14ac:dyDescent="0.25">
      <c r="A131"/>
      <c r="E131"/>
      <c r="H131"/>
      <c r="I131"/>
      <c r="J131"/>
      <c r="K131"/>
      <c r="L131"/>
      <c r="M131"/>
    </row>
    <row r="132" spans="1:13" hidden="1" x14ac:dyDescent="0.25">
      <c r="A132"/>
      <c r="E132"/>
      <c r="H132"/>
      <c r="I132"/>
      <c r="J132"/>
      <c r="K132"/>
      <c r="L132"/>
      <c r="M132"/>
    </row>
    <row r="133" spans="1:13" hidden="1" x14ac:dyDescent="0.25">
      <c r="A133"/>
      <c r="E133"/>
      <c r="H133"/>
      <c r="I133"/>
      <c r="J133"/>
      <c r="K133"/>
      <c r="L133"/>
      <c r="M133"/>
    </row>
    <row r="134" spans="1:13" hidden="1" x14ac:dyDescent="0.25">
      <c r="A134"/>
      <c r="E134"/>
      <c r="H134"/>
      <c r="I134"/>
      <c r="J134"/>
      <c r="K134"/>
      <c r="L134"/>
      <c r="M134"/>
    </row>
    <row r="135" spans="1:13" hidden="1" x14ac:dyDescent="0.25">
      <c r="A135"/>
      <c r="E135"/>
      <c r="H135"/>
      <c r="I135"/>
      <c r="J135"/>
      <c r="K135"/>
      <c r="L135"/>
      <c r="M135"/>
    </row>
    <row r="136" spans="1:13" hidden="1" x14ac:dyDescent="0.25">
      <c r="A136"/>
      <c r="E136"/>
      <c r="H136"/>
      <c r="I136"/>
      <c r="J136"/>
      <c r="K136"/>
      <c r="L136"/>
      <c r="M136"/>
    </row>
    <row r="137" spans="1:13" hidden="1" x14ac:dyDescent="0.25">
      <c r="A137"/>
      <c r="E137"/>
      <c r="H137"/>
      <c r="I137"/>
      <c r="J137"/>
      <c r="K137"/>
      <c r="L137"/>
      <c r="M137"/>
    </row>
    <row r="138" spans="1:13" hidden="1" x14ac:dyDescent="0.25">
      <c r="A138"/>
      <c r="E138"/>
      <c r="H138"/>
      <c r="I138"/>
      <c r="J138"/>
      <c r="K138"/>
      <c r="L138"/>
      <c r="M138"/>
    </row>
    <row r="139" spans="1:13" hidden="1" x14ac:dyDescent="0.25">
      <c r="A139"/>
      <c r="E139"/>
      <c r="H139"/>
      <c r="I139"/>
      <c r="J139"/>
      <c r="K139"/>
      <c r="L139"/>
      <c r="M139"/>
    </row>
    <row r="140" spans="1:13" hidden="1" x14ac:dyDescent="0.25">
      <c r="A140"/>
      <c r="E140"/>
      <c r="H140"/>
      <c r="I140"/>
      <c r="J140"/>
      <c r="K140"/>
      <c r="L140"/>
      <c r="M140"/>
    </row>
    <row r="141" spans="1:13" hidden="1" x14ac:dyDescent="0.25">
      <c r="A141"/>
      <c r="E141"/>
      <c r="H141"/>
      <c r="I141"/>
      <c r="J141"/>
      <c r="K141"/>
      <c r="L141"/>
      <c r="M141"/>
    </row>
    <row r="142" spans="1:13" hidden="1" x14ac:dyDescent="0.25">
      <c r="A142"/>
      <c r="E142"/>
      <c r="H142"/>
      <c r="I142"/>
      <c r="J142"/>
      <c r="K142"/>
      <c r="L142"/>
      <c r="M142"/>
    </row>
    <row r="143" spans="1:13" hidden="1" x14ac:dyDescent="0.25">
      <c r="A143"/>
      <c r="E143"/>
      <c r="H143"/>
      <c r="I143"/>
      <c r="J143"/>
      <c r="K143"/>
      <c r="L143"/>
      <c r="M143"/>
    </row>
    <row r="144" spans="1:13" hidden="1" x14ac:dyDescent="0.25">
      <c r="A144"/>
      <c r="E144"/>
      <c r="H144"/>
      <c r="I144"/>
      <c r="J144"/>
      <c r="K144"/>
      <c r="L144"/>
      <c r="M144"/>
    </row>
    <row r="145" spans="1:13" hidden="1" x14ac:dyDescent="0.25">
      <c r="A145"/>
      <c r="E145"/>
      <c r="H145"/>
      <c r="I145"/>
      <c r="J145"/>
      <c r="K145"/>
      <c r="L145"/>
      <c r="M145"/>
    </row>
    <row r="146" spans="1:13" hidden="1" x14ac:dyDescent="0.25">
      <c r="A146"/>
      <c r="E146"/>
      <c r="H146"/>
      <c r="I146"/>
      <c r="J146"/>
      <c r="K146"/>
      <c r="L146"/>
      <c r="M146"/>
    </row>
    <row r="147" spans="1:13" hidden="1" x14ac:dyDescent="0.25">
      <c r="A147"/>
      <c r="E147"/>
      <c r="H147"/>
      <c r="I147"/>
      <c r="J147"/>
      <c r="K147"/>
      <c r="L147"/>
      <c r="M147"/>
    </row>
    <row r="148" spans="1:13" hidden="1" x14ac:dyDescent="0.25">
      <c r="A148"/>
      <c r="E148"/>
      <c r="H148"/>
      <c r="I148"/>
      <c r="J148"/>
      <c r="K148"/>
      <c r="L148"/>
      <c r="M148"/>
    </row>
    <row r="149" spans="1:13" hidden="1" x14ac:dyDescent="0.25">
      <c r="A149"/>
      <c r="E149"/>
      <c r="H149"/>
      <c r="I149"/>
      <c r="J149"/>
      <c r="K149"/>
      <c r="L149"/>
    </row>
    <row r="150" spans="1:13" hidden="1" x14ac:dyDescent="0.25">
      <c r="A150"/>
      <c r="E150"/>
      <c r="H150"/>
      <c r="I150"/>
      <c r="J150"/>
      <c r="K150"/>
      <c r="L150"/>
    </row>
    <row r="151" spans="1:13" hidden="1" x14ac:dyDescent="0.25">
      <c r="A151"/>
      <c r="E151"/>
      <c r="H151"/>
      <c r="I151"/>
      <c r="J151"/>
      <c r="K151"/>
      <c r="L151"/>
    </row>
    <row r="152" spans="1:13" hidden="1" x14ac:dyDescent="0.25">
      <c r="A152"/>
      <c r="E152"/>
      <c r="H152"/>
      <c r="I152"/>
      <c r="J152"/>
      <c r="K152"/>
      <c r="L152"/>
    </row>
    <row r="153" spans="1:13" hidden="1" x14ac:dyDescent="0.25">
      <c r="A153"/>
      <c r="E153"/>
      <c r="H153"/>
      <c r="I153"/>
      <c r="J153"/>
      <c r="K153"/>
      <c r="L153"/>
    </row>
    <row r="154" spans="1:13" hidden="1" x14ac:dyDescent="0.25">
      <c r="A154"/>
      <c r="E154"/>
      <c r="H154"/>
      <c r="I154"/>
      <c r="J154"/>
      <c r="K154"/>
      <c r="L154"/>
    </row>
    <row r="155" spans="1:13" hidden="1" x14ac:dyDescent="0.25">
      <c r="A155"/>
      <c r="E155"/>
      <c r="H155"/>
      <c r="I155"/>
      <c r="J155"/>
      <c r="K155"/>
      <c r="L155"/>
    </row>
    <row r="156" spans="1:13" hidden="1" x14ac:dyDescent="0.25">
      <c r="A156"/>
      <c r="E156"/>
      <c r="H156"/>
      <c r="I156"/>
      <c r="J156"/>
      <c r="K156"/>
      <c r="L156"/>
    </row>
    <row r="157" spans="1:13" hidden="1" x14ac:dyDescent="0.25">
      <c r="A157"/>
      <c r="E157"/>
      <c r="H157"/>
      <c r="I157"/>
      <c r="J157"/>
      <c r="K157"/>
      <c r="L157"/>
    </row>
    <row r="158" spans="1:13" hidden="1" x14ac:dyDescent="0.25">
      <c r="A158"/>
      <c r="E158"/>
      <c r="H158"/>
      <c r="I158"/>
      <c r="J158"/>
      <c r="K158"/>
      <c r="L158"/>
    </row>
    <row r="159" spans="1:13" hidden="1" x14ac:dyDescent="0.25">
      <c r="A159"/>
      <c r="E159"/>
      <c r="H159"/>
      <c r="I159"/>
      <c r="J159"/>
      <c r="K159"/>
      <c r="L159"/>
    </row>
    <row r="160" spans="1:13" hidden="1" x14ac:dyDescent="0.25">
      <c r="A160"/>
      <c r="E160"/>
      <c r="H160"/>
      <c r="I160"/>
      <c r="J160"/>
      <c r="K160"/>
      <c r="L160"/>
    </row>
    <row r="161" spans="1:12" hidden="1" x14ac:dyDescent="0.25">
      <c r="A161"/>
      <c r="E161"/>
      <c r="H161"/>
      <c r="I161"/>
      <c r="J161"/>
      <c r="K161"/>
      <c r="L161"/>
    </row>
    <row r="162" spans="1:12" hidden="1" x14ac:dyDescent="0.25">
      <c r="A162"/>
      <c r="E162"/>
      <c r="H162"/>
      <c r="I162"/>
      <c r="J162"/>
      <c r="K162"/>
      <c r="L162"/>
    </row>
    <row r="163" spans="1:12" hidden="1" x14ac:dyDescent="0.25">
      <c r="A163"/>
      <c r="E163"/>
      <c r="H163"/>
      <c r="I163"/>
      <c r="J163"/>
      <c r="K163"/>
      <c r="L163"/>
    </row>
    <row r="164" spans="1:12" hidden="1" x14ac:dyDescent="0.25">
      <c r="A164"/>
      <c r="E164"/>
      <c r="H164"/>
      <c r="I164"/>
      <c r="J164"/>
      <c r="K164"/>
      <c r="L164"/>
    </row>
    <row r="165" spans="1:12" hidden="1" x14ac:dyDescent="0.25">
      <c r="A165"/>
      <c r="E165"/>
      <c r="H165"/>
      <c r="I165"/>
      <c r="J165"/>
      <c r="K165"/>
      <c r="L165"/>
    </row>
    <row r="166" spans="1:12" hidden="1" x14ac:dyDescent="0.25">
      <c r="A166"/>
      <c r="E166"/>
      <c r="H166"/>
      <c r="I166"/>
      <c r="J166"/>
      <c r="K166"/>
      <c r="L166"/>
    </row>
    <row r="167" spans="1:12" hidden="1" x14ac:dyDescent="0.25">
      <c r="A167"/>
      <c r="E167"/>
      <c r="H167"/>
      <c r="I167"/>
      <c r="J167"/>
      <c r="K167"/>
      <c r="L167"/>
    </row>
    <row r="168" spans="1:12" hidden="1" x14ac:dyDescent="0.25">
      <c r="A168"/>
      <c r="E168"/>
      <c r="H168"/>
      <c r="I168"/>
      <c r="J168"/>
      <c r="K168"/>
      <c r="L168"/>
    </row>
    <row r="169" spans="1:12" hidden="1" x14ac:dyDescent="0.25">
      <c r="A169"/>
      <c r="E169"/>
      <c r="H169"/>
      <c r="I169"/>
      <c r="J169"/>
      <c r="K169"/>
      <c r="L169"/>
    </row>
    <row r="170" spans="1:12" hidden="1" x14ac:dyDescent="0.25">
      <c r="A170"/>
      <c r="E170"/>
      <c r="H170"/>
      <c r="I170"/>
      <c r="J170"/>
      <c r="K170"/>
      <c r="L170"/>
    </row>
    <row r="171" spans="1:12" hidden="1" x14ac:dyDescent="0.25">
      <c r="A171"/>
      <c r="E171"/>
      <c r="H171"/>
      <c r="I171"/>
      <c r="J171"/>
      <c r="K171"/>
      <c r="L171"/>
    </row>
    <row r="172" spans="1:12" hidden="1" x14ac:dyDescent="0.25">
      <c r="A172"/>
      <c r="E172"/>
      <c r="H172"/>
      <c r="I172"/>
      <c r="J172"/>
      <c r="K172"/>
      <c r="L172"/>
    </row>
    <row r="173" spans="1:12" hidden="1" x14ac:dyDescent="0.25">
      <c r="A173"/>
      <c r="E173"/>
      <c r="J173"/>
      <c r="K173"/>
      <c r="L173"/>
    </row>
    <row r="174" spans="1:12" hidden="1" x14ac:dyDescent="0.25">
      <c r="A174"/>
      <c r="E174"/>
      <c r="J174"/>
      <c r="K174"/>
      <c r="L174"/>
    </row>
    <row r="175" spans="1:12" hidden="1" x14ac:dyDescent="0.25">
      <c r="A175"/>
      <c r="E175"/>
      <c r="J175"/>
      <c r="K175"/>
      <c r="L175"/>
    </row>
    <row r="176" spans="1:12" hidden="1" x14ac:dyDescent="0.25">
      <c r="A176"/>
      <c r="E176"/>
      <c r="J176"/>
      <c r="K176"/>
      <c r="L176"/>
    </row>
    <row r="177" spans="1:12" hidden="1" x14ac:dyDescent="0.25">
      <c r="A177"/>
      <c r="E177"/>
      <c r="J177"/>
      <c r="K177"/>
      <c r="L177"/>
    </row>
    <row r="178" spans="1:12" hidden="1" x14ac:dyDescent="0.25">
      <c r="A178"/>
      <c r="E178"/>
      <c r="J178"/>
      <c r="K178"/>
      <c r="L178"/>
    </row>
    <row r="179" spans="1:12" hidden="1" x14ac:dyDescent="0.25">
      <c r="A179"/>
      <c r="E179"/>
      <c r="J179"/>
      <c r="K179"/>
      <c r="L179"/>
    </row>
    <row r="180" spans="1:12" hidden="1" x14ac:dyDescent="0.25">
      <c r="A180"/>
      <c r="E180"/>
      <c r="J180"/>
      <c r="K180"/>
      <c r="L180"/>
    </row>
    <row r="181" spans="1:12" hidden="1" x14ac:dyDescent="0.25">
      <c r="A181"/>
      <c r="E181"/>
      <c r="J181"/>
      <c r="K181"/>
      <c r="L181"/>
    </row>
    <row r="182" spans="1:12" hidden="1" x14ac:dyDescent="0.25">
      <c r="A182"/>
      <c r="E182"/>
      <c r="J182"/>
      <c r="K182"/>
      <c r="L182"/>
    </row>
    <row r="183" spans="1:12" hidden="1" x14ac:dyDescent="0.25">
      <c r="A183"/>
      <c r="E183"/>
      <c r="J183"/>
      <c r="K183"/>
      <c r="L183"/>
    </row>
    <row r="184" spans="1:12" hidden="1" x14ac:dyDescent="0.25">
      <c r="A184"/>
      <c r="E184"/>
      <c r="J184"/>
      <c r="K184"/>
      <c r="L184"/>
    </row>
    <row r="185" spans="1:12" hidden="1" x14ac:dyDescent="0.25">
      <c r="A185"/>
      <c r="E185"/>
      <c r="J185"/>
      <c r="K185"/>
      <c r="L185"/>
    </row>
    <row r="186" spans="1:12" hidden="1" x14ac:dyDescent="0.25">
      <c r="A186"/>
      <c r="E186"/>
      <c r="J186"/>
      <c r="K186"/>
      <c r="L186"/>
    </row>
    <row r="187" spans="1:12" hidden="1" x14ac:dyDescent="0.25">
      <c r="A187"/>
      <c r="E187"/>
      <c r="J187"/>
      <c r="K187"/>
      <c r="L187"/>
    </row>
    <row r="188" spans="1:12" hidden="1" x14ac:dyDescent="0.25">
      <c r="A188"/>
      <c r="E188"/>
      <c r="J188"/>
      <c r="K188"/>
      <c r="L188"/>
    </row>
    <row r="189" spans="1:12" hidden="1" x14ac:dyDescent="0.25">
      <c r="A189"/>
      <c r="E189"/>
      <c r="J189"/>
      <c r="K189"/>
      <c r="L189"/>
    </row>
    <row r="190" spans="1:12" hidden="1" x14ac:dyDescent="0.25">
      <c r="A190"/>
      <c r="E190"/>
      <c r="J190"/>
      <c r="K190"/>
      <c r="L190"/>
    </row>
    <row r="191" spans="1:12" hidden="1" x14ac:dyDescent="0.25">
      <c r="A191"/>
      <c r="E191"/>
      <c r="J191"/>
      <c r="K191"/>
      <c r="L191"/>
    </row>
    <row r="192" spans="1:12" hidden="1" x14ac:dyDescent="0.25">
      <c r="A192"/>
      <c r="E192"/>
      <c r="J192"/>
      <c r="K192"/>
      <c r="L192"/>
    </row>
    <row r="193" spans="1:12" hidden="1" x14ac:dyDescent="0.25">
      <c r="A193"/>
      <c r="E193"/>
      <c r="J193"/>
      <c r="K193"/>
      <c r="L193"/>
    </row>
    <row r="194" spans="1:12" hidden="1" x14ac:dyDescent="0.25">
      <c r="A194"/>
      <c r="E194"/>
      <c r="J194"/>
      <c r="K194"/>
      <c r="L194"/>
    </row>
    <row r="195" spans="1:12" hidden="1" x14ac:dyDescent="0.25">
      <c r="A195"/>
      <c r="E195"/>
      <c r="J195"/>
      <c r="K195"/>
      <c r="L195"/>
    </row>
    <row r="196" spans="1:12" hidden="1" x14ac:dyDescent="0.25">
      <c r="A196"/>
      <c r="E196"/>
      <c r="J196"/>
      <c r="K196"/>
      <c r="L196"/>
    </row>
    <row r="197" spans="1:12" hidden="1" x14ac:dyDescent="0.25">
      <c r="A197"/>
      <c r="E197"/>
      <c r="J197"/>
      <c r="K197"/>
      <c r="L197"/>
    </row>
    <row r="198" spans="1:12" hidden="1" x14ac:dyDescent="0.25">
      <c r="A198"/>
      <c r="E198"/>
      <c r="J198"/>
      <c r="K198"/>
      <c r="L198"/>
    </row>
    <row r="199" spans="1:12" hidden="1" x14ac:dyDescent="0.25">
      <c r="A199"/>
      <c r="E199"/>
      <c r="J199"/>
      <c r="K199"/>
      <c r="L199"/>
    </row>
    <row r="200" spans="1:12" hidden="1" x14ac:dyDescent="0.25">
      <c r="A200"/>
      <c r="E200"/>
      <c r="J200"/>
      <c r="K200"/>
      <c r="L200"/>
    </row>
    <row r="201" spans="1:12" hidden="1" x14ac:dyDescent="0.25">
      <c r="A201"/>
      <c r="E201"/>
      <c r="J201"/>
      <c r="K201"/>
      <c r="L201"/>
    </row>
    <row r="202" spans="1:12" hidden="1" x14ac:dyDescent="0.25">
      <c r="A202"/>
      <c r="E202"/>
      <c r="J202"/>
      <c r="K202"/>
      <c r="L202"/>
    </row>
    <row r="203" spans="1:12" hidden="1" x14ac:dyDescent="0.25">
      <c r="A203"/>
      <c r="E203"/>
      <c r="J203"/>
      <c r="K203"/>
      <c r="L203"/>
    </row>
    <row r="204" spans="1:12" hidden="1" x14ac:dyDescent="0.25">
      <c r="A204"/>
      <c r="E204"/>
      <c r="J204"/>
      <c r="K204"/>
      <c r="L204"/>
    </row>
    <row r="205" spans="1:12" hidden="1" x14ac:dyDescent="0.25">
      <c r="A205"/>
      <c r="E205"/>
      <c r="J205"/>
      <c r="K205"/>
      <c r="L205"/>
    </row>
    <row r="206" spans="1:12" hidden="1" x14ac:dyDescent="0.25">
      <c r="A206"/>
      <c r="E206"/>
      <c r="J206"/>
      <c r="K206"/>
      <c r="L206"/>
    </row>
    <row r="207" spans="1:12" hidden="1" x14ac:dyDescent="0.25">
      <c r="A207"/>
      <c r="E207"/>
      <c r="J207"/>
      <c r="K207"/>
      <c r="L207"/>
    </row>
    <row r="208" spans="1:12" hidden="1" x14ac:dyDescent="0.25">
      <c r="A208"/>
      <c r="E208"/>
      <c r="J208"/>
      <c r="K208"/>
      <c r="L208"/>
    </row>
    <row r="209" spans="1:12" hidden="1" x14ac:dyDescent="0.25">
      <c r="A209"/>
      <c r="E209"/>
      <c r="J209"/>
      <c r="K209"/>
      <c r="L209"/>
    </row>
    <row r="210" spans="1:12" hidden="1" x14ac:dyDescent="0.25">
      <c r="A210"/>
      <c r="E210"/>
      <c r="J210"/>
      <c r="K210"/>
      <c r="L210"/>
    </row>
    <row r="211" spans="1:12" hidden="1" x14ac:dyDescent="0.25">
      <c r="A211"/>
      <c r="E211"/>
      <c r="J211"/>
      <c r="K211"/>
      <c r="L211"/>
    </row>
    <row r="212" spans="1:12" hidden="1" x14ac:dyDescent="0.25">
      <c r="A212"/>
      <c r="E212"/>
      <c r="J212"/>
      <c r="K212"/>
      <c r="L212"/>
    </row>
    <row r="213" spans="1:12" hidden="1" x14ac:dyDescent="0.25">
      <c r="A213"/>
      <c r="E213"/>
      <c r="J213"/>
      <c r="K213"/>
      <c r="L213"/>
    </row>
    <row r="214" spans="1:12" hidden="1" x14ac:dyDescent="0.25">
      <c r="A214"/>
      <c r="E214"/>
      <c r="J214"/>
      <c r="K214"/>
      <c r="L214"/>
    </row>
    <row r="215" spans="1:12" hidden="1" x14ac:dyDescent="0.25">
      <c r="A215"/>
      <c r="E215"/>
      <c r="J215"/>
      <c r="K215"/>
      <c r="L215"/>
    </row>
    <row r="216" spans="1:12" hidden="1" x14ac:dyDescent="0.25">
      <c r="A216"/>
      <c r="E216"/>
      <c r="J216"/>
      <c r="K216"/>
      <c r="L216"/>
    </row>
    <row r="217" spans="1:12" hidden="1" x14ac:dyDescent="0.25">
      <c r="A217"/>
      <c r="E217"/>
      <c r="J217"/>
      <c r="K217"/>
      <c r="L217"/>
    </row>
    <row r="218" spans="1:12" hidden="1" x14ac:dyDescent="0.25">
      <c r="A218"/>
      <c r="E218"/>
      <c r="J218"/>
      <c r="K218"/>
      <c r="L218"/>
    </row>
    <row r="219" spans="1:12" hidden="1" x14ac:dyDescent="0.25">
      <c r="A219"/>
      <c r="E219"/>
      <c r="J219"/>
      <c r="K219"/>
      <c r="L219"/>
    </row>
    <row r="220" spans="1:12" hidden="1" x14ac:dyDescent="0.25">
      <c r="A220"/>
      <c r="E220"/>
      <c r="J220"/>
      <c r="K220"/>
      <c r="L220"/>
    </row>
    <row r="221" spans="1:12" hidden="1" x14ac:dyDescent="0.25">
      <c r="A221"/>
      <c r="E221"/>
      <c r="J221"/>
      <c r="K221"/>
      <c r="L221"/>
    </row>
    <row r="222" spans="1:12" hidden="1" x14ac:dyDescent="0.25">
      <c r="A222"/>
      <c r="E222"/>
      <c r="J222"/>
      <c r="K222"/>
      <c r="L222"/>
    </row>
    <row r="223" spans="1:12" hidden="1" x14ac:dyDescent="0.25">
      <c r="A223"/>
      <c r="E223"/>
      <c r="J223"/>
      <c r="K223"/>
      <c r="L223"/>
    </row>
    <row r="224" spans="1:12" hidden="1" x14ac:dyDescent="0.25">
      <c r="A224"/>
      <c r="E224"/>
      <c r="J224"/>
      <c r="K224"/>
      <c r="L224"/>
    </row>
    <row r="225" spans="1:12" hidden="1" x14ac:dyDescent="0.25">
      <c r="A225"/>
      <c r="E225"/>
      <c r="J225"/>
      <c r="K225"/>
      <c r="L225"/>
    </row>
    <row r="226" spans="1:12" hidden="1" x14ac:dyDescent="0.25">
      <c r="A226"/>
      <c r="E226"/>
      <c r="J226"/>
      <c r="K226"/>
      <c r="L226"/>
    </row>
    <row r="227" spans="1:12" hidden="1" x14ac:dyDescent="0.25">
      <c r="A227"/>
      <c r="E227"/>
      <c r="J227"/>
      <c r="K227"/>
      <c r="L227"/>
    </row>
    <row r="228" spans="1:12" hidden="1" x14ac:dyDescent="0.25">
      <c r="A228"/>
      <c r="E228"/>
      <c r="J228"/>
      <c r="K228"/>
      <c r="L228"/>
    </row>
    <row r="229" spans="1:12" hidden="1" x14ac:dyDescent="0.25">
      <c r="A229"/>
      <c r="E229"/>
      <c r="J229"/>
      <c r="K229"/>
      <c r="L229"/>
    </row>
    <row r="230" spans="1:12" hidden="1" x14ac:dyDescent="0.25">
      <c r="A230"/>
      <c r="E230"/>
      <c r="J230"/>
      <c r="K230"/>
      <c r="L230"/>
    </row>
    <row r="231" spans="1:12" hidden="1" x14ac:dyDescent="0.25">
      <c r="A231"/>
      <c r="E231"/>
      <c r="J231"/>
      <c r="K231"/>
      <c r="L231"/>
    </row>
    <row r="232" spans="1:12" hidden="1" x14ac:dyDescent="0.25">
      <c r="A232"/>
      <c r="E232"/>
      <c r="J232"/>
      <c r="K232"/>
      <c r="L232"/>
    </row>
    <row r="233" spans="1:12" hidden="1" x14ac:dyDescent="0.25">
      <c r="A233"/>
      <c r="E233"/>
      <c r="J233"/>
      <c r="K233"/>
      <c r="L233"/>
    </row>
    <row r="234" spans="1:12" hidden="1" x14ac:dyDescent="0.25">
      <c r="A234"/>
      <c r="E234"/>
      <c r="J234"/>
      <c r="K234"/>
      <c r="L234"/>
    </row>
    <row r="235" spans="1:12" hidden="1" x14ac:dyDescent="0.25">
      <c r="A235"/>
      <c r="E235"/>
      <c r="J235"/>
      <c r="K235"/>
      <c r="L235"/>
    </row>
    <row r="236" spans="1:12" hidden="1" x14ac:dyDescent="0.25">
      <c r="A236"/>
      <c r="E236"/>
      <c r="J236"/>
      <c r="K236"/>
      <c r="L236"/>
    </row>
    <row r="237" spans="1:12" hidden="1" x14ac:dyDescent="0.25">
      <c r="A237"/>
      <c r="E237"/>
      <c r="J237"/>
      <c r="K237"/>
      <c r="L237"/>
    </row>
    <row r="238" spans="1:12" hidden="1" x14ac:dyDescent="0.25">
      <c r="A238"/>
      <c r="E238"/>
      <c r="J238"/>
      <c r="K238"/>
      <c r="L238"/>
    </row>
    <row r="239" spans="1:12" hidden="1" x14ac:dyDescent="0.25">
      <c r="A239"/>
      <c r="E239"/>
      <c r="J239"/>
      <c r="K239"/>
      <c r="L239"/>
    </row>
    <row r="240" spans="1:12" hidden="1" x14ac:dyDescent="0.25">
      <c r="A240"/>
      <c r="E240"/>
      <c r="J240"/>
      <c r="K240"/>
      <c r="L240"/>
    </row>
    <row r="241" spans="1:12" hidden="1" x14ac:dyDescent="0.25">
      <c r="A241"/>
      <c r="E241"/>
      <c r="J241"/>
      <c r="K241"/>
      <c r="L241"/>
    </row>
    <row r="242" spans="1:12" hidden="1" x14ac:dyDescent="0.25">
      <c r="A242"/>
      <c r="E242"/>
      <c r="J242"/>
      <c r="K242"/>
      <c r="L242"/>
    </row>
    <row r="243" spans="1:12" hidden="1" x14ac:dyDescent="0.25">
      <c r="A243"/>
      <c r="E243"/>
      <c r="J243"/>
      <c r="K243"/>
      <c r="L243"/>
    </row>
    <row r="244" spans="1:12" hidden="1" x14ac:dyDescent="0.25">
      <c r="A244"/>
      <c r="E244"/>
      <c r="J244"/>
      <c r="K244"/>
      <c r="L244"/>
    </row>
    <row r="245" spans="1:12" hidden="1" x14ac:dyDescent="0.25">
      <c r="A245"/>
      <c r="E245"/>
      <c r="J245"/>
      <c r="K245"/>
      <c r="L245"/>
    </row>
    <row r="246" spans="1:12" hidden="1" x14ac:dyDescent="0.25">
      <c r="A246"/>
      <c r="E246"/>
      <c r="J246"/>
      <c r="K246"/>
      <c r="L246"/>
    </row>
    <row r="247" spans="1:12" hidden="1" x14ac:dyDescent="0.25">
      <c r="A247"/>
      <c r="E247"/>
      <c r="J247"/>
      <c r="K247"/>
      <c r="L247"/>
    </row>
    <row r="248" spans="1:12" hidden="1" x14ac:dyDescent="0.25">
      <c r="A248"/>
      <c r="E248"/>
      <c r="J248"/>
      <c r="K248"/>
      <c r="L248"/>
    </row>
    <row r="249" spans="1:12" hidden="1" x14ac:dyDescent="0.25">
      <c r="A249"/>
      <c r="E249"/>
      <c r="J249"/>
      <c r="K249"/>
      <c r="L249"/>
    </row>
    <row r="250" spans="1:12" hidden="1" x14ac:dyDescent="0.25">
      <c r="A250"/>
      <c r="E250"/>
      <c r="J250"/>
      <c r="K250"/>
      <c r="L250"/>
    </row>
    <row r="251" spans="1:12" hidden="1" x14ac:dyDescent="0.25">
      <c r="A251"/>
      <c r="E251"/>
      <c r="J251"/>
      <c r="K251"/>
      <c r="L251"/>
    </row>
    <row r="252" spans="1:12" hidden="1" x14ac:dyDescent="0.25">
      <c r="A252"/>
      <c r="E252"/>
      <c r="J252"/>
      <c r="K252"/>
      <c r="L252"/>
    </row>
    <row r="253" spans="1:12" hidden="1" x14ac:dyDescent="0.25">
      <c r="A253"/>
      <c r="E253"/>
      <c r="J253"/>
      <c r="K253"/>
      <c r="L253"/>
    </row>
    <row r="254" spans="1:12" hidden="1" x14ac:dyDescent="0.25">
      <c r="A254"/>
      <c r="E254"/>
      <c r="J254"/>
      <c r="K254"/>
      <c r="L254"/>
    </row>
    <row r="255" spans="1:12" hidden="1" x14ac:dyDescent="0.25">
      <c r="A255"/>
      <c r="E255"/>
      <c r="J255"/>
      <c r="K255"/>
      <c r="L255"/>
    </row>
    <row r="256" spans="1:12" hidden="1" x14ac:dyDescent="0.25">
      <c r="A256"/>
      <c r="E256"/>
      <c r="J256"/>
      <c r="K256"/>
      <c r="L256"/>
    </row>
    <row r="257" spans="1:12" hidden="1" x14ac:dyDescent="0.25">
      <c r="A257"/>
      <c r="E257"/>
      <c r="J257"/>
      <c r="K257"/>
      <c r="L257"/>
    </row>
    <row r="258" spans="1:12" hidden="1" x14ac:dyDescent="0.25">
      <c r="A258"/>
      <c r="E258"/>
      <c r="J258"/>
      <c r="K258"/>
      <c r="L258"/>
    </row>
    <row r="259" spans="1:12" hidden="1" x14ac:dyDescent="0.25">
      <c r="A259"/>
      <c r="E259"/>
      <c r="J259"/>
      <c r="K259"/>
      <c r="L259"/>
    </row>
    <row r="260" spans="1:12" hidden="1" x14ac:dyDescent="0.25">
      <c r="A260"/>
      <c r="E260"/>
      <c r="J260"/>
      <c r="K260"/>
      <c r="L260"/>
    </row>
    <row r="261" spans="1:12" hidden="1" x14ac:dyDescent="0.25">
      <c r="A261"/>
      <c r="E261"/>
      <c r="J261"/>
      <c r="K261"/>
      <c r="L261"/>
    </row>
    <row r="262" spans="1:12" hidden="1" x14ac:dyDescent="0.25">
      <c r="A262"/>
      <c r="E262"/>
      <c r="J262"/>
      <c r="K262"/>
      <c r="L262"/>
    </row>
    <row r="263" spans="1:12" hidden="1" x14ac:dyDescent="0.25">
      <c r="A263"/>
      <c r="E263"/>
      <c r="J263"/>
      <c r="K263"/>
      <c r="L263"/>
    </row>
    <row r="264" spans="1:12" hidden="1" x14ac:dyDescent="0.25">
      <c r="A264"/>
      <c r="E264"/>
      <c r="J264"/>
      <c r="K264"/>
      <c r="L264"/>
    </row>
    <row r="265" spans="1:12" hidden="1" x14ac:dyDescent="0.25">
      <c r="A265"/>
      <c r="E265"/>
      <c r="J265"/>
      <c r="K265"/>
      <c r="L265"/>
    </row>
    <row r="266" spans="1:12" hidden="1" x14ac:dyDescent="0.25">
      <c r="A266"/>
      <c r="E266"/>
      <c r="J266"/>
      <c r="K266"/>
      <c r="L266"/>
    </row>
    <row r="267" spans="1:12" hidden="1" x14ac:dyDescent="0.25">
      <c r="A267"/>
      <c r="E267"/>
      <c r="J267"/>
      <c r="K267"/>
      <c r="L267"/>
    </row>
    <row r="268" spans="1:12" hidden="1" x14ac:dyDescent="0.25">
      <c r="A268"/>
      <c r="E268"/>
      <c r="J268"/>
      <c r="K268"/>
      <c r="L268"/>
    </row>
    <row r="269" spans="1:12" hidden="1" x14ac:dyDescent="0.25">
      <c r="A269"/>
      <c r="E269"/>
      <c r="J269"/>
      <c r="K269"/>
      <c r="L269"/>
    </row>
    <row r="270" spans="1:12" hidden="1" x14ac:dyDescent="0.25">
      <c r="A270"/>
      <c r="E270"/>
      <c r="J270"/>
      <c r="K270"/>
      <c r="L270"/>
    </row>
    <row r="271" spans="1:12" hidden="1" x14ac:dyDescent="0.25">
      <c r="A271"/>
      <c r="E271"/>
      <c r="J271"/>
      <c r="K271"/>
      <c r="L271"/>
    </row>
    <row r="272" spans="1:12" hidden="1" x14ac:dyDescent="0.25">
      <c r="A272"/>
      <c r="E272"/>
      <c r="J272"/>
      <c r="K272"/>
      <c r="L272"/>
    </row>
    <row r="273" spans="1:12" hidden="1" x14ac:dyDescent="0.25">
      <c r="A273"/>
      <c r="E273"/>
      <c r="J273"/>
      <c r="K273"/>
      <c r="L273"/>
    </row>
    <row r="274" spans="1:12" hidden="1" x14ac:dyDescent="0.25">
      <c r="A274"/>
      <c r="E274"/>
      <c r="J274"/>
      <c r="K274"/>
      <c r="L274"/>
    </row>
    <row r="275" spans="1:12" hidden="1" x14ac:dyDescent="0.25">
      <c r="A275"/>
      <c r="E275"/>
      <c r="J275"/>
      <c r="K275"/>
      <c r="L275"/>
    </row>
    <row r="276" spans="1:12" hidden="1" x14ac:dyDescent="0.25">
      <c r="A276"/>
      <c r="E276"/>
      <c r="J276"/>
      <c r="K276"/>
      <c r="L276"/>
    </row>
    <row r="277" spans="1:12" hidden="1" x14ac:dyDescent="0.25">
      <c r="A277"/>
      <c r="E277"/>
      <c r="J277"/>
      <c r="K277"/>
      <c r="L277"/>
    </row>
    <row r="278" spans="1:12" hidden="1" x14ac:dyDescent="0.25">
      <c r="A278"/>
      <c r="E278"/>
      <c r="J278"/>
      <c r="K278"/>
      <c r="L278"/>
    </row>
    <row r="279" spans="1:12" hidden="1" x14ac:dyDescent="0.25">
      <c r="A279"/>
      <c r="E279"/>
      <c r="J279"/>
      <c r="K279"/>
      <c r="L279"/>
    </row>
    <row r="280" spans="1:12" hidden="1" x14ac:dyDescent="0.25">
      <c r="A280"/>
      <c r="E280"/>
      <c r="J280"/>
      <c r="K280"/>
      <c r="L280"/>
    </row>
    <row r="281" spans="1:12" hidden="1" x14ac:dyDescent="0.25">
      <c r="A281"/>
      <c r="E281"/>
      <c r="J281"/>
      <c r="K281"/>
      <c r="L281"/>
    </row>
    <row r="282" spans="1:12" hidden="1" x14ac:dyDescent="0.25">
      <c r="A282"/>
      <c r="E282"/>
      <c r="J282"/>
      <c r="K282"/>
      <c r="L282"/>
    </row>
    <row r="283" spans="1:12" hidden="1" x14ac:dyDescent="0.25">
      <c r="A283"/>
      <c r="E283"/>
      <c r="J283"/>
      <c r="K283"/>
      <c r="L283"/>
    </row>
    <row r="284" spans="1:12" hidden="1" x14ac:dyDescent="0.25">
      <c r="A284"/>
      <c r="E284"/>
      <c r="J284"/>
      <c r="K284"/>
      <c r="L284"/>
    </row>
    <row r="285" spans="1:12" hidden="1" x14ac:dyDescent="0.25">
      <c r="A285"/>
      <c r="E285"/>
      <c r="J285"/>
      <c r="K285"/>
      <c r="L285"/>
    </row>
    <row r="286" spans="1:12" hidden="1" x14ac:dyDescent="0.25">
      <c r="A286"/>
      <c r="E286"/>
      <c r="J286"/>
      <c r="K286"/>
      <c r="L286"/>
    </row>
    <row r="287" spans="1:12" hidden="1" x14ac:dyDescent="0.25">
      <c r="A287"/>
      <c r="E287"/>
      <c r="J287"/>
      <c r="K287"/>
      <c r="L287"/>
    </row>
    <row r="288" spans="1:12" hidden="1" x14ac:dyDescent="0.25">
      <c r="A288"/>
      <c r="E288"/>
      <c r="J288"/>
      <c r="K288"/>
      <c r="L288"/>
    </row>
    <row r="289" spans="1:12" hidden="1" x14ac:dyDescent="0.25">
      <c r="A289"/>
      <c r="E289"/>
      <c r="J289"/>
      <c r="K289"/>
      <c r="L289"/>
    </row>
    <row r="290" spans="1:12" hidden="1" x14ac:dyDescent="0.25">
      <c r="A290"/>
      <c r="E290"/>
      <c r="J290"/>
      <c r="K290"/>
      <c r="L290"/>
    </row>
    <row r="291" spans="1:12" hidden="1" x14ac:dyDescent="0.25">
      <c r="A291"/>
      <c r="E291"/>
      <c r="J291"/>
      <c r="K291"/>
      <c r="L291"/>
    </row>
    <row r="292" spans="1:12" hidden="1" x14ac:dyDescent="0.25">
      <c r="A292"/>
      <c r="E292"/>
      <c r="J292"/>
      <c r="K292"/>
      <c r="L292"/>
    </row>
    <row r="293" spans="1:12" hidden="1" x14ac:dyDescent="0.25">
      <c r="A293"/>
      <c r="E293"/>
      <c r="J293"/>
      <c r="K293"/>
      <c r="L293"/>
    </row>
    <row r="294" spans="1:12" hidden="1" x14ac:dyDescent="0.25">
      <c r="A294"/>
      <c r="E294"/>
      <c r="J294"/>
      <c r="K294"/>
      <c r="L294"/>
    </row>
    <row r="295" spans="1:12" hidden="1" x14ac:dyDescent="0.25">
      <c r="A295"/>
      <c r="E295"/>
      <c r="J295"/>
      <c r="K295"/>
      <c r="L295"/>
    </row>
    <row r="296" spans="1:12" hidden="1" x14ac:dyDescent="0.25">
      <c r="A296"/>
      <c r="E296"/>
      <c r="J296"/>
      <c r="K296"/>
      <c r="L296"/>
    </row>
    <row r="297" spans="1:12" hidden="1" x14ac:dyDescent="0.25">
      <c r="A297"/>
      <c r="E297"/>
      <c r="J297"/>
      <c r="K297"/>
      <c r="L297"/>
    </row>
    <row r="298" spans="1:12" hidden="1" x14ac:dyDescent="0.25">
      <c r="A298"/>
      <c r="E298"/>
      <c r="J298"/>
      <c r="K298"/>
      <c r="L298"/>
    </row>
    <row r="299" spans="1:12" hidden="1" x14ac:dyDescent="0.25">
      <c r="A299"/>
      <c r="E299"/>
      <c r="J299"/>
      <c r="K299"/>
      <c r="L299"/>
    </row>
    <row r="300" spans="1:12" hidden="1" x14ac:dyDescent="0.25">
      <c r="A300"/>
      <c r="E300"/>
      <c r="J300"/>
      <c r="K300"/>
      <c r="L300"/>
    </row>
    <row r="301" spans="1:12" hidden="1" x14ac:dyDescent="0.25">
      <c r="A301"/>
      <c r="E301"/>
      <c r="J301"/>
      <c r="K301"/>
      <c r="L301"/>
    </row>
    <row r="302" spans="1:12" hidden="1" x14ac:dyDescent="0.25">
      <c r="A302"/>
      <c r="E302"/>
      <c r="J302"/>
      <c r="K302"/>
      <c r="L302"/>
    </row>
    <row r="303" spans="1:12" hidden="1" x14ac:dyDescent="0.25">
      <c r="A303"/>
      <c r="E303"/>
      <c r="J303"/>
      <c r="K303"/>
      <c r="L303"/>
    </row>
    <row r="304" spans="1:12" hidden="1" x14ac:dyDescent="0.25">
      <c r="A304"/>
      <c r="E304"/>
      <c r="J304"/>
      <c r="K304"/>
      <c r="L304"/>
    </row>
    <row r="305" spans="1:12" hidden="1" x14ac:dyDescent="0.25">
      <c r="A305"/>
      <c r="E305"/>
      <c r="J305"/>
      <c r="K305"/>
      <c r="L305"/>
    </row>
    <row r="306" spans="1:12" hidden="1" x14ac:dyDescent="0.25">
      <c r="A306"/>
      <c r="E306"/>
      <c r="J306"/>
      <c r="K306"/>
      <c r="L306"/>
    </row>
    <row r="307" spans="1:12" hidden="1" x14ac:dyDescent="0.25">
      <c r="A307"/>
      <c r="E307"/>
      <c r="J307"/>
      <c r="K307"/>
      <c r="L307"/>
    </row>
    <row r="308" spans="1:12" hidden="1" x14ac:dyDescent="0.25">
      <c r="A308"/>
      <c r="E308"/>
      <c r="J308"/>
      <c r="K308"/>
      <c r="L308"/>
    </row>
    <row r="309" spans="1:12" hidden="1" x14ac:dyDescent="0.25">
      <c r="A309"/>
      <c r="E309"/>
      <c r="J309"/>
      <c r="K309"/>
      <c r="L309"/>
    </row>
    <row r="310" spans="1:12" hidden="1" x14ac:dyDescent="0.25">
      <c r="A310"/>
      <c r="E310"/>
      <c r="J310"/>
      <c r="K310"/>
      <c r="L310"/>
    </row>
    <row r="311" spans="1:12" hidden="1" x14ac:dyDescent="0.25">
      <c r="A311"/>
      <c r="E311"/>
      <c r="J311"/>
      <c r="K311"/>
      <c r="L311"/>
    </row>
    <row r="312" spans="1:12" hidden="1" x14ac:dyDescent="0.25">
      <c r="A312"/>
      <c r="E312"/>
      <c r="J312"/>
      <c r="K312"/>
      <c r="L312"/>
    </row>
    <row r="313" spans="1:12" hidden="1" x14ac:dyDescent="0.25">
      <c r="A313"/>
      <c r="E313"/>
      <c r="J313"/>
      <c r="K313"/>
      <c r="L313"/>
    </row>
    <row r="314" spans="1:12" hidden="1" x14ac:dyDescent="0.25">
      <c r="A314"/>
      <c r="E314"/>
      <c r="J314"/>
      <c r="K314"/>
      <c r="L314"/>
    </row>
    <row r="315" spans="1:12" hidden="1" x14ac:dyDescent="0.25">
      <c r="A315"/>
      <c r="E315"/>
      <c r="J315"/>
      <c r="K315"/>
      <c r="L315"/>
    </row>
    <row r="316" spans="1:12" hidden="1" x14ac:dyDescent="0.25">
      <c r="A316"/>
      <c r="E316"/>
      <c r="J316"/>
      <c r="K316"/>
      <c r="L316"/>
    </row>
    <row r="317" spans="1:12" hidden="1" x14ac:dyDescent="0.25">
      <c r="A317"/>
      <c r="E317"/>
      <c r="J317"/>
      <c r="K317"/>
      <c r="L317"/>
    </row>
    <row r="318" spans="1:12" hidden="1" x14ac:dyDescent="0.25">
      <c r="A318"/>
      <c r="E318"/>
      <c r="J318"/>
      <c r="K318"/>
      <c r="L318"/>
    </row>
    <row r="319" spans="1:12" hidden="1" x14ac:dyDescent="0.25">
      <c r="A319"/>
      <c r="E319"/>
      <c r="J319"/>
      <c r="K319"/>
      <c r="L319"/>
    </row>
    <row r="320" spans="1:12" hidden="1" x14ac:dyDescent="0.25">
      <c r="A320"/>
      <c r="E320"/>
      <c r="J320"/>
      <c r="K320"/>
      <c r="L320"/>
    </row>
    <row r="321" spans="1:12" hidden="1" x14ac:dyDescent="0.25">
      <c r="A321"/>
      <c r="E321"/>
      <c r="J321"/>
      <c r="K321"/>
      <c r="L321"/>
    </row>
    <row r="322" spans="1:12" hidden="1" x14ac:dyDescent="0.25">
      <c r="A322"/>
      <c r="E322"/>
      <c r="J322"/>
      <c r="K322"/>
      <c r="L322"/>
    </row>
    <row r="323" spans="1:12" hidden="1" x14ac:dyDescent="0.25">
      <c r="A323"/>
      <c r="E323"/>
      <c r="J323"/>
      <c r="K323"/>
      <c r="L323"/>
    </row>
    <row r="324" spans="1:12" hidden="1" x14ac:dyDescent="0.25">
      <c r="A324"/>
      <c r="E324"/>
      <c r="J324"/>
      <c r="K324"/>
      <c r="L324"/>
    </row>
    <row r="325" spans="1:12" hidden="1" x14ac:dyDescent="0.25">
      <c r="A325"/>
      <c r="E325"/>
      <c r="J325"/>
      <c r="K325"/>
      <c r="L325"/>
    </row>
    <row r="326" spans="1:12" hidden="1" x14ac:dyDescent="0.25">
      <c r="A326"/>
      <c r="E326"/>
      <c r="J326"/>
      <c r="K326"/>
    </row>
    <row r="327" spans="1:12" hidden="1" x14ac:dyDescent="0.25">
      <c r="A327"/>
      <c r="E327"/>
      <c r="J327"/>
      <c r="K327"/>
    </row>
    <row r="328" spans="1:12" hidden="1" x14ac:dyDescent="0.25">
      <c r="A328"/>
      <c r="E328"/>
      <c r="J328"/>
      <c r="K328"/>
    </row>
    <row r="329" spans="1:12" hidden="1" x14ac:dyDescent="0.25">
      <c r="A329"/>
      <c r="E329"/>
      <c r="J329"/>
      <c r="K329"/>
    </row>
    <row r="330" spans="1:12" hidden="1" x14ac:dyDescent="0.25">
      <c r="A330"/>
      <c r="E330"/>
      <c r="J330"/>
      <c r="K330"/>
    </row>
    <row r="331" spans="1:12" hidden="1" x14ac:dyDescent="0.25">
      <c r="A331"/>
      <c r="E331"/>
      <c r="J331"/>
      <c r="K331"/>
    </row>
    <row r="332" spans="1:12" hidden="1" x14ac:dyDescent="0.25">
      <c r="A332"/>
      <c r="E332"/>
      <c r="J332"/>
      <c r="K332"/>
    </row>
    <row r="333" spans="1:12" hidden="1" x14ac:dyDescent="0.25">
      <c r="A333"/>
      <c r="E333"/>
      <c r="J333"/>
      <c r="K333"/>
    </row>
    <row r="334" spans="1:12" hidden="1" x14ac:dyDescent="0.25">
      <c r="A334"/>
      <c r="E334"/>
      <c r="J334"/>
      <c r="K334"/>
    </row>
    <row r="335" spans="1:12" hidden="1" x14ac:dyDescent="0.25">
      <c r="A335"/>
      <c r="E335"/>
      <c r="J335"/>
      <c r="K335"/>
    </row>
    <row r="336" spans="1:12" hidden="1" x14ac:dyDescent="0.25">
      <c r="A336"/>
      <c r="E336"/>
      <c r="J336"/>
      <c r="K336"/>
    </row>
    <row r="337" spans="1:11" hidden="1" x14ac:dyDescent="0.25">
      <c r="A337"/>
      <c r="E337"/>
      <c r="J337"/>
      <c r="K337"/>
    </row>
    <row r="338" spans="1:11" hidden="1" x14ac:dyDescent="0.25">
      <c r="A338"/>
      <c r="E338"/>
      <c r="J338"/>
      <c r="K338"/>
    </row>
    <row r="339" spans="1:11" hidden="1" x14ac:dyDescent="0.25">
      <c r="A339"/>
      <c r="E339"/>
      <c r="J339"/>
      <c r="K339"/>
    </row>
    <row r="340" spans="1:11" hidden="1" x14ac:dyDescent="0.25">
      <c r="A340"/>
      <c r="E340"/>
      <c r="J340"/>
      <c r="K340"/>
    </row>
    <row r="341" spans="1:11" hidden="1" x14ac:dyDescent="0.25">
      <c r="A341"/>
      <c r="E341"/>
      <c r="J341"/>
      <c r="K341"/>
    </row>
    <row r="342" spans="1:11" hidden="1" x14ac:dyDescent="0.25">
      <c r="A342"/>
      <c r="E342"/>
      <c r="J342"/>
      <c r="K342"/>
    </row>
    <row r="343" spans="1:11" hidden="1" x14ac:dyDescent="0.25">
      <c r="A343"/>
      <c r="E343"/>
      <c r="J343"/>
      <c r="K343"/>
    </row>
    <row r="344" spans="1:11" hidden="1" x14ac:dyDescent="0.25">
      <c r="A344"/>
      <c r="E344"/>
      <c r="J344"/>
      <c r="K344"/>
    </row>
    <row r="345" spans="1:11" hidden="1" x14ac:dyDescent="0.25">
      <c r="A345"/>
      <c r="E345"/>
      <c r="J345"/>
      <c r="K345"/>
    </row>
    <row r="346" spans="1:11" hidden="1" x14ac:dyDescent="0.25">
      <c r="A346"/>
      <c r="E346"/>
      <c r="J346"/>
      <c r="K346"/>
    </row>
    <row r="347" spans="1:11" hidden="1" x14ac:dyDescent="0.25">
      <c r="A347"/>
      <c r="E347"/>
      <c r="J347"/>
      <c r="K347"/>
    </row>
    <row r="348" spans="1:11" hidden="1" x14ac:dyDescent="0.25">
      <c r="A348"/>
      <c r="E348"/>
      <c r="J348"/>
      <c r="K348"/>
    </row>
    <row r="349" spans="1:11" hidden="1" x14ac:dyDescent="0.25">
      <c r="A349"/>
      <c r="E349"/>
      <c r="J349"/>
      <c r="K349"/>
    </row>
    <row r="350" spans="1:11" hidden="1" x14ac:dyDescent="0.25">
      <c r="A350"/>
      <c r="E350"/>
      <c r="J350"/>
      <c r="K350"/>
    </row>
    <row r="351" spans="1:11" hidden="1" x14ac:dyDescent="0.25">
      <c r="A351"/>
      <c r="E351"/>
      <c r="J351"/>
      <c r="K351"/>
    </row>
    <row r="352" spans="1:11" hidden="1" x14ac:dyDescent="0.25">
      <c r="A352"/>
      <c r="E352"/>
      <c r="J352"/>
      <c r="K352"/>
    </row>
    <row r="353" spans="1:11" hidden="1" x14ac:dyDescent="0.25">
      <c r="A353"/>
      <c r="E353"/>
      <c r="J353"/>
      <c r="K353"/>
    </row>
    <row r="354" spans="1:11" hidden="1" x14ac:dyDescent="0.25">
      <c r="A354"/>
      <c r="E354"/>
      <c r="J354"/>
      <c r="K354"/>
    </row>
    <row r="355" spans="1:11" hidden="1" x14ac:dyDescent="0.25">
      <c r="A355"/>
      <c r="E355"/>
      <c r="J355"/>
      <c r="K355"/>
    </row>
    <row r="356" spans="1:11" hidden="1" x14ac:dyDescent="0.25">
      <c r="A356"/>
      <c r="E356"/>
      <c r="J356"/>
      <c r="K356"/>
    </row>
    <row r="357" spans="1:11" hidden="1" x14ac:dyDescent="0.25">
      <c r="A357"/>
      <c r="E357"/>
      <c r="J357"/>
      <c r="K357"/>
    </row>
    <row r="358" spans="1:11" hidden="1" x14ac:dyDescent="0.25">
      <c r="A358"/>
      <c r="E358"/>
      <c r="J358"/>
      <c r="K358"/>
    </row>
    <row r="359" spans="1:11" hidden="1" x14ac:dyDescent="0.25">
      <c r="A359"/>
      <c r="E359"/>
      <c r="J359"/>
      <c r="K359"/>
    </row>
    <row r="360" spans="1:11" hidden="1" x14ac:dyDescent="0.25">
      <c r="A360"/>
      <c r="E360"/>
      <c r="J360"/>
      <c r="K360"/>
    </row>
    <row r="361" spans="1:11" hidden="1" x14ac:dyDescent="0.25">
      <c r="A361"/>
      <c r="E361"/>
      <c r="J361"/>
      <c r="K361"/>
    </row>
    <row r="362" spans="1:11" hidden="1" x14ac:dyDescent="0.25">
      <c r="A362"/>
      <c r="E362"/>
      <c r="J362"/>
      <c r="K362"/>
    </row>
    <row r="363" spans="1:11" hidden="1" x14ac:dyDescent="0.25">
      <c r="A363"/>
      <c r="E363"/>
      <c r="J363"/>
      <c r="K363"/>
    </row>
    <row r="364" spans="1:11" hidden="1" x14ac:dyDescent="0.25">
      <c r="A364"/>
      <c r="E364"/>
      <c r="J364"/>
      <c r="K364"/>
    </row>
    <row r="365" spans="1:11" hidden="1" x14ac:dyDescent="0.25">
      <c r="A365"/>
      <c r="E365"/>
      <c r="J365"/>
      <c r="K365"/>
    </row>
    <row r="366" spans="1:11" hidden="1" x14ac:dyDescent="0.25">
      <c r="A366"/>
      <c r="E366"/>
      <c r="J366"/>
      <c r="K366"/>
    </row>
    <row r="367" spans="1:11" hidden="1" x14ac:dyDescent="0.25">
      <c r="A367"/>
      <c r="E367"/>
      <c r="J367"/>
      <c r="K367"/>
    </row>
    <row r="368" spans="1:11" hidden="1" x14ac:dyDescent="0.25">
      <c r="A368"/>
      <c r="E368"/>
      <c r="J368"/>
      <c r="K368"/>
    </row>
    <row r="369" spans="1:11" hidden="1" x14ac:dyDescent="0.25">
      <c r="A369"/>
      <c r="E369"/>
      <c r="J369"/>
      <c r="K369"/>
    </row>
    <row r="370" spans="1:11" hidden="1" x14ac:dyDescent="0.25">
      <c r="A370"/>
      <c r="E370"/>
      <c r="J370"/>
      <c r="K370"/>
    </row>
    <row r="371" spans="1:11" hidden="1" x14ac:dyDescent="0.25">
      <c r="A371"/>
      <c r="E371"/>
      <c r="J371"/>
      <c r="K371"/>
    </row>
    <row r="372" spans="1:11" hidden="1" x14ac:dyDescent="0.25">
      <c r="A372"/>
      <c r="E372"/>
      <c r="J372"/>
      <c r="K372"/>
    </row>
    <row r="373" spans="1:11" hidden="1" x14ac:dyDescent="0.25">
      <c r="A373"/>
      <c r="E373"/>
      <c r="J373"/>
      <c r="K373"/>
    </row>
    <row r="374" spans="1:11" hidden="1" x14ac:dyDescent="0.25">
      <c r="A374"/>
      <c r="E374"/>
      <c r="J374"/>
      <c r="K374"/>
    </row>
    <row r="375" spans="1:11" hidden="1" x14ac:dyDescent="0.25">
      <c r="A375"/>
      <c r="E375"/>
      <c r="J375"/>
      <c r="K375"/>
    </row>
    <row r="376" spans="1:11" hidden="1" x14ac:dyDescent="0.25">
      <c r="A376"/>
      <c r="E376"/>
      <c r="J376"/>
      <c r="K376"/>
    </row>
    <row r="377" spans="1:11" hidden="1" x14ac:dyDescent="0.25">
      <c r="A377"/>
      <c r="E377"/>
      <c r="J377"/>
      <c r="K377"/>
    </row>
    <row r="378" spans="1:11" hidden="1" x14ac:dyDescent="0.25">
      <c r="A378"/>
      <c r="E378"/>
      <c r="J378"/>
      <c r="K378"/>
    </row>
    <row r="379" spans="1:11" hidden="1" x14ac:dyDescent="0.25">
      <c r="A379"/>
      <c r="E379"/>
      <c r="J379"/>
      <c r="K379"/>
    </row>
    <row r="380" spans="1:11" hidden="1" x14ac:dyDescent="0.25">
      <c r="A380"/>
      <c r="E380"/>
      <c r="J380"/>
      <c r="K380"/>
    </row>
    <row r="381" spans="1:11" hidden="1" x14ac:dyDescent="0.25">
      <c r="A381"/>
      <c r="E381"/>
      <c r="J381"/>
      <c r="K381"/>
    </row>
    <row r="382" spans="1:11" hidden="1" x14ac:dyDescent="0.25">
      <c r="A382"/>
      <c r="E382"/>
      <c r="J382"/>
      <c r="K382"/>
    </row>
    <row r="383" spans="1:11" hidden="1" x14ac:dyDescent="0.25">
      <c r="A383"/>
      <c r="E383"/>
      <c r="J383"/>
      <c r="K383"/>
    </row>
    <row r="384" spans="1:11" hidden="1" x14ac:dyDescent="0.25">
      <c r="A384"/>
      <c r="E384"/>
      <c r="J384"/>
      <c r="K384"/>
    </row>
    <row r="385" spans="1:11" hidden="1" x14ac:dyDescent="0.25">
      <c r="A385"/>
      <c r="E385"/>
      <c r="J385"/>
      <c r="K385"/>
    </row>
    <row r="386" spans="1:11" hidden="1" x14ac:dyDescent="0.25">
      <c r="A386"/>
      <c r="E386"/>
      <c r="J386"/>
      <c r="K386"/>
    </row>
    <row r="387" spans="1:11" hidden="1" x14ac:dyDescent="0.25">
      <c r="A387"/>
      <c r="E387"/>
      <c r="J387"/>
      <c r="K387"/>
    </row>
    <row r="388" spans="1:11" hidden="1" x14ac:dyDescent="0.25">
      <c r="A388"/>
      <c r="E388"/>
      <c r="J388"/>
      <c r="K388"/>
    </row>
    <row r="389" spans="1:11" hidden="1" x14ac:dyDescent="0.25">
      <c r="A389"/>
      <c r="E389"/>
      <c r="J389"/>
      <c r="K389"/>
    </row>
    <row r="390" spans="1:11" hidden="1" x14ac:dyDescent="0.25">
      <c r="A390"/>
      <c r="E390"/>
      <c r="J390"/>
      <c r="K390"/>
    </row>
    <row r="391" spans="1:11" hidden="1" x14ac:dyDescent="0.25">
      <c r="A391"/>
      <c r="E391"/>
      <c r="J391"/>
      <c r="K391"/>
    </row>
    <row r="392" spans="1:11" hidden="1" x14ac:dyDescent="0.25">
      <c r="A392"/>
      <c r="E392"/>
      <c r="J392"/>
      <c r="K392"/>
    </row>
    <row r="393" spans="1:11" hidden="1" x14ac:dyDescent="0.25">
      <c r="A393"/>
      <c r="E393"/>
      <c r="J393"/>
      <c r="K393"/>
    </row>
    <row r="394" spans="1:11" hidden="1" x14ac:dyDescent="0.25">
      <c r="A394"/>
      <c r="E394"/>
      <c r="J394"/>
      <c r="K394"/>
    </row>
    <row r="395" spans="1:11" hidden="1" x14ac:dyDescent="0.25">
      <c r="A395"/>
      <c r="E395"/>
      <c r="J395"/>
      <c r="K395"/>
    </row>
    <row r="396" spans="1:11" hidden="1" x14ac:dyDescent="0.25">
      <c r="A396"/>
      <c r="E396"/>
      <c r="J396"/>
      <c r="K396"/>
    </row>
    <row r="397" spans="1:11" hidden="1" x14ac:dyDescent="0.25">
      <c r="A397"/>
      <c r="E397"/>
      <c r="J397"/>
      <c r="K397"/>
    </row>
    <row r="398" spans="1:11" hidden="1" x14ac:dyDescent="0.25">
      <c r="A398"/>
      <c r="E398"/>
      <c r="J398"/>
      <c r="K398"/>
    </row>
    <row r="399" spans="1:11" hidden="1" x14ac:dyDescent="0.25">
      <c r="A399"/>
      <c r="E399"/>
      <c r="J399"/>
      <c r="K399"/>
    </row>
    <row r="400" spans="1:11" hidden="1" x14ac:dyDescent="0.25">
      <c r="A400"/>
      <c r="E400"/>
      <c r="J400"/>
      <c r="K400"/>
    </row>
    <row r="401" spans="1:11" hidden="1" x14ac:dyDescent="0.25">
      <c r="A401"/>
      <c r="E401"/>
      <c r="J401"/>
      <c r="K401"/>
    </row>
    <row r="402" spans="1:11" hidden="1" x14ac:dyDescent="0.25">
      <c r="A402"/>
      <c r="E402"/>
      <c r="J402"/>
      <c r="K402"/>
    </row>
    <row r="403" spans="1:11" hidden="1" x14ac:dyDescent="0.25">
      <c r="A403"/>
      <c r="E403"/>
      <c r="J403"/>
      <c r="K403"/>
    </row>
    <row r="404" spans="1:11" hidden="1" x14ac:dyDescent="0.25">
      <c r="A404"/>
      <c r="E404"/>
      <c r="J404"/>
      <c r="K404"/>
    </row>
    <row r="405" spans="1:11" hidden="1" x14ac:dyDescent="0.25">
      <c r="A405"/>
      <c r="E405"/>
      <c r="J405"/>
      <c r="K405"/>
    </row>
    <row r="406" spans="1:11" hidden="1" x14ac:dyDescent="0.25">
      <c r="A406"/>
      <c r="E406"/>
      <c r="J406"/>
      <c r="K406"/>
    </row>
    <row r="407" spans="1:11" hidden="1" x14ac:dyDescent="0.25">
      <c r="A407"/>
      <c r="E407"/>
      <c r="J407"/>
      <c r="K407"/>
    </row>
    <row r="408" spans="1:11" hidden="1" x14ac:dyDescent="0.25">
      <c r="A408"/>
      <c r="E408"/>
      <c r="J408"/>
      <c r="K408"/>
    </row>
    <row r="409" spans="1:11" hidden="1" x14ac:dyDescent="0.25">
      <c r="A409"/>
      <c r="E409"/>
      <c r="J409"/>
      <c r="K409"/>
    </row>
    <row r="410" spans="1:11" hidden="1" x14ac:dyDescent="0.25">
      <c r="A410"/>
      <c r="E410"/>
      <c r="J410"/>
      <c r="K410"/>
    </row>
    <row r="411" spans="1:11" hidden="1" x14ac:dyDescent="0.25">
      <c r="A411"/>
      <c r="E411"/>
      <c r="J411"/>
      <c r="K411"/>
    </row>
    <row r="412" spans="1:11" hidden="1" x14ac:dyDescent="0.25">
      <c r="A412"/>
      <c r="E412"/>
      <c r="J412"/>
      <c r="K412"/>
    </row>
    <row r="413" spans="1:11" hidden="1" x14ac:dyDescent="0.25">
      <c r="A413"/>
      <c r="E413"/>
      <c r="J413"/>
      <c r="K413"/>
    </row>
    <row r="414" spans="1:11" hidden="1" x14ac:dyDescent="0.25">
      <c r="A414"/>
      <c r="E414"/>
      <c r="J414"/>
      <c r="K414"/>
    </row>
    <row r="415" spans="1:11" hidden="1" x14ac:dyDescent="0.25">
      <c r="A415"/>
      <c r="E415"/>
      <c r="J415"/>
      <c r="K415"/>
    </row>
    <row r="416" spans="1:11" hidden="1" x14ac:dyDescent="0.25">
      <c r="A416"/>
      <c r="E416"/>
      <c r="J416"/>
      <c r="K416"/>
    </row>
    <row r="417" spans="1:11" hidden="1" x14ac:dyDescent="0.25">
      <c r="A417"/>
      <c r="E417"/>
      <c r="J417"/>
      <c r="K417"/>
    </row>
    <row r="418" spans="1:11" hidden="1" x14ac:dyDescent="0.25">
      <c r="A418"/>
      <c r="E418"/>
      <c r="J418"/>
      <c r="K418"/>
    </row>
    <row r="419" spans="1:11" hidden="1" x14ac:dyDescent="0.25">
      <c r="A419"/>
      <c r="E419"/>
      <c r="J419"/>
      <c r="K419"/>
    </row>
    <row r="420" spans="1:11" hidden="1" x14ac:dyDescent="0.25">
      <c r="A420"/>
      <c r="E420"/>
      <c r="J420"/>
      <c r="K420"/>
    </row>
    <row r="421" spans="1:11" hidden="1" x14ac:dyDescent="0.25">
      <c r="A421"/>
      <c r="E421"/>
      <c r="J421"/>
      <c r="K421"/>
    </row>
    <row r="422" spans="1:11" hidden="1" x14ac:dyDescent="0.25">
      <c r="A422"/>
      <c r="E422"/>
      <c r="J422"/>
      <c r="K422"/>
    </row>
    <row r="423" spans="1:11" hidden="1" x14ac:dyDescent="0.25">
      <c r="A423"/>
      <c r="E423"/>
      <c r="J423"/>
      <c r="K423"/>
    </row>
    <row r="424" spans="1:11" hidden="1" x14ac:dyDescent="0.25">
      <c r="A424"/>
      <c r="E424"/>
      <c r="J424"/>
      <c r="K424"/>
    </row>
    <row r="425" spans="1:11" hidden="1" x14ac:dyDescent="0.25">
      <c r="A425"/>
      <c r="E425"/>
      <c r="J425"/>
      <c r="K425"/>
    </row>
    <row r="426" spans="1:11" hidden="1" x14ac:dyDescent="0.25">
      <c r="A426"/>
      <c r="E426"/>
      <c r="J426"/>
      <c r="K426"/>
    </row>
    <row r="427" spans="1:11" hidden="1" x14ac:dyDescent="0.25">
      <c r="A427"/>
      <c r="E427"/>
      <c r="J427"/>
      <c r="K427"/>
    </row>
    <row r="428" spans="1:11" hidden="1" x14ac:dyDescent="0.25">
      <c r="A428"/>
      <c r="E428"/>
      <c r="J428"/>
      <c r="K428"/>
    </row>
    <row r="429" spans="1:11" hidden="1" x14ac:dyDescent="0.25">
      <c r="A429"/>
      <c r="E429"/>
      <c r="J429"/>
      <c r="K429"/>
    </row>
    <row r="430" spans="1:11" hidden="1" x14ac:dyDescent="0.25">
      <c r="A430"/>
      <c r="E430"/>
      <c r="J430"/>
      <c r="K430"/>
    </row>
    <row r="431" spans="1:11" hidden="1" x14ac:dyDescent="0.25">
      <c r="A431"/>
      <c r="E431"/>
      <c r="J431"/>
      <c r="K431"/>
    </row>
    <row r="432" spans="1:11" hidden="1" x14ac:dyDescent="0.25">
      <c r="A432"/>
      <c r="E432"/>
      <c r="J432"/>
      <c r="K432"/>
    </row>
    <row r="433" spans="1:11" hidden="1" x14ac:dyDescent="0.25">
      <c r="A433"/>
      <c r="E433"/>
      <c r="J433"/>
      <c r="K433"/>
    </row>
    <row r="434" spans="1:11" hidden="1" x14ac:dyDescent="0.25">
      <c r="A434"/>
      <c r="E434"/>
      <c r="J434"/>
      <c r="K434"/>
    </row>
    <row r="435" spans="1:11" hidden="1" x14ac:dyDescent="0.25">
      <c r="A435"/>
      <c r="E435"/>
      <c r="J435"/>
      <c r="K435"/>
    </row>
    <row r="436" spans="1:11" hidden="1" x14ac:dyDescent="0.25">
      <c r="A436"/>
      <c r="E436"/>
      <c r="J436"/>
      <c r="K436"/>
    </row>
    <row r="437" spans="1:11" hidden="1" x14ac:dyDescent="0.25">
      <c r="A437"/>
      <c r="E437"/>
      <c r="J437"/>
      <c r="K437"/>
    </row>
    <row r="438" spans="1:11" hidden="1" x14ac:dyDescent="0.25">
      <c r="A438"/>
      <c r="E438"/>
      <c r="J438"/>
      <c r="K438"/>
    </row>
    <row r="439" spans="1:11" hidden="1" x14ac:dyDescent="0.25">
      <c r="A439"/>
      <c r="E439"/>
      <c r="J439"/>
      <c r="K439"/>
    </row>
    <row r="440" spans="1:11" hidden="1" x14ac:dyDescent="0.25">
      <c r="A440"/>
      <c r="E440"/>
      <c r="J440"/>
      <c r="K440"/>
    </row>
    <row r="441" spans="1:11" hidden="1" x14ac:dyDescent="0.25">
      <c r="A441"/>
      <c r="E441"/>
      <c r="J441"/>
      <c r="K441"/>
    </row>
    <row r="442" spans="1:11" hidden="1" x14ac:dyDescent="0.25">
      <c r="A442"/>
      <c r="E442"/>
      <c r="J442"/>
      <c r="K442"/>
    </row>
    <row r="443" spans="1:11" hidden="1" x14ac:dyDescent="0.25">
      <c r="A443"/>
      <c r="E443"/>
      <c r="J443"/>
      <c r="K443"/>
    </row>
    <row r="444" spans="1:11" hidden="1" x14ac:dyDescent="0.25">
      <c r="A444"/>
      <c r="E444"/>
      <c r="J444"/>
      <c r="K444"/>
    </row>
    <row r="445" spans="1:11" hidden="1" x14ac:dyDescent="0.25">
      <c r="A445"/>
      <c r="E445"/>
      <c r="J445"/>
      <c r="K445"/>
    </row>
    <row r="446" spans="1:11" hidden="1" x14ac:dyDescent="0.25">
      <c r="A446"/>
      <c r="E446"/>
      <c r="J446"/>
      <c r="K446"/>
    </row>
    <row r="447" spans="1:11" hidden="1" x14ac:dyDescent="0.25">
      <c r="A447"/>
      <c r="E447"/>
      <c r="J447"/>
      <c r="K447"/>
    </row>
    <row r="448" spans="1:11" hidden="1" x14ac:dyDescent="0.25">
      <c r="A448"/>
      <c r="E448"/>
      <c r="J448"/>
      <c r="K448"/>
    </row>
    <row r="449" spans="1:11" hidden="1" x14ac:dyDescent="0.25">
      <c r="A449"/>
      <c r="E449"/>
      <c r="J449"/>
      <c r="K449"/>
    </row>
    <row r="450" spans="1:11" hidden="1" x14ac:dyDescent="0.25">
      <c r="A450"/>
      <c r="E450"/>
      <c r="J450"/>
      <c r="K450"/>
    </row>
    <row r="451" spans="1:11" hidden="1" x14ac:dyDescent="0.25">
      <c r="A451"/>
      <c r="E451"/>
      <c r="J451"/>
      <c r="K451"/>
    </row>
    <row r="452" spans="1:11" hidden="1" x14ac:dyDescent="0.25">
      <c r="A452"/>
      <c r="E452"/>
      <c r="J452"/>
      <c r="K452"/>
    </row>
    <row r="453" spans="1:11" hidden="1" x14ac:dyDescent="0.25">
      <c r="A453"/>
      <c r="E453"/>
      <c r="J453"/>
      <c r="K453"/>
    </row>
    <row r="454" spans="1:11" hidden="1" x14ac:dyDescent="0.25">
      <c r="A454"/>
      <c r="E454"/>
      <c r="J454"/>
      <c r="K454"/>
    </row>
    <row r="455" spans="1:11" hidden="1" x14ac:dyDescent="0.25">
      <c r="A455"/>
      <c r="E455"/>
      <c r="J455"/>
      <c r="K455"/>
    </row>
    <row r="456" spans="1:11" hidden="1" x14ac:dyDescent="0.25">
      <c r="A456"/>
      <c r="E456"/>
      <c r="J456"/>
      <c r="K456"/>
    </row>
    <row r="457" spans="1:11" hidden="1" x14ac:dyDescent="0.25">
      <c r="A457"/>
      <c r="E457"/>
      <c r="J457"/>
      <c r="K457"/>
    </row>
    <row r="458" spans="1:11" hidden="1" x14ac:dyDescent="0.25">
      <c r="A458"/>
      <c r="E458"/>
      <c r="J458"/>
      <c r="K458"/>
    </row>
    <row r="459" spans="1:11" hidden="1" x14ac:dyDescent="0.25">
      <c r="A459"/>
      <c r="E459"/>
      <c r="J459"/>
      <c r="K459"/>
    </row>
    <row r="460" spans="1:11" hidden="1" x14ac:dyDescent="0.25">
      <c r="A460"/>
      <c r="E460"/>
      <c r="J460"/>
      <c r="K460"/>
    </row>
    <row r="461" spans="1:11" hidden="1" x14ac:dyDescent="0.25">
      <c r="A461"/>
      <c r="E461"/>
      <c r="J461"/>
      <c r="K461"/>
    </row>
    <row r="462" spans="1:11" hidden="1" x14ac:dyDescent="0.25">
      <c r="A462"/>
      <c r="E462"/>
      <c r="J462"/>
      <c r="K462"/>
    </row>
    <row r="463" spans="1:11" hidden="1" x14ac:dyDescent="0.25">
      <c r="A463"/>
      <c r="E463"/>
      <c r="J463"/>
      <c r="K463"/>
    </row>
    <row r="464" spans="1:11" hidden="1" x14ac:dyDescent="0.25">
      <c r="A464"/>
      <c r="E464"/>
      <c r="J464"/>
      <c r="K464"/>
    </row>
    <row r="465" spans="1:11" hidden="1" x14ac:dyDescent="0.25">
      <c r="A465"/>
      <c r="E465"/>
      <c r="J465"/>
      <c r="K465"/>
    </row>
    <row r="466" spans="1:11" hidden="1" x14ac:dyDescent="0.25">
      <c r="A466"/>
      <c r="E466"/>
      <c r="J466"/>
      <c r="K466"/>
    </row>
    <row r="467" spans="1:11" hidden="1" x14ac:dyDescent="0.25">
      <c r="A467"/>
      <c r="E467"/>
      <c r="J467"/>
      <c r="K467"/>
    </row>
    <row r="468" spans="1:11" hidden="1" x14ac:dyDescent="0.25">
      <c r="A468"/>
      <c r="E468"/>
      <c r="J468"/>
      <c r="K468"/>
    </row>
    <row r="469" spans="1:11" hidden="1" x14ac:dyDescent="0.25">
      <c r="A469"/>
      <c r="E469"/>
      <c r="J469"/>
      <c r="K469"/>
    </row>
    <row r="470" spans="1:11" hidden="1" x14ac:dyDescent="0.25">
      <c r="A470"/>
      <c r="E470"/>
      <c r="J470"/>
      <c r="K470"/>
    </row>
    <row r="471" spans="1:11" hidden="1" x14ac:dyDescent="0.25">
      <c r="A471"/>
      <c r="E471"/>
      <c r="J471"/>
      <c r="K471"/>
    </row>
    <row r="472" spans="1:11" hidden="1" x14ac:dyDescent="0.25">
      <c r="A472"/>
      <c r="E472"/>
      <c r="J472"/>
      <c r="K472"/>
    </row>
    <row r="473" spans="1:11" hidden="1" x14ac:dyDescent="0.25">
      <c r="A473"/>
      <c r="E473"/>
      <c r="J473"/>
      <c r="K473"/>
    </row>
    <row r="474" spans="1:11" hidden="1" x14ac:dyDescent="0.25">
      <c r="A474"/>
      <c r="E474"/>
      <c r="J474"/>
      <c r="K474"/>
    </row>
    <row r="475" spans="1:11" hidden="1" x14ac:dyDescent="0.25">
      <c r="A475"/>
      <c r="E475"/>
      <c r="J475"/>
      <c r="K475"/>
    </row>
    <row r="476" spans="1:11" hidden="1" x14ac:dyDescent="0.25">
      <c r="A476"/>
      <c r="E476"/>
      <c r="J476"/>
      <c r="K476"/>
    </row>
    <row r="477" spans="1:11" hidden="1" x14ac:dyDescent="0.25">
      <c r="A477"/>
      <c r="E477"/>
      <c r="J477"/>
      <c r="K477"/>
    </row>
    <row r="478" spans="1:11" hidden="1" x14ac:dyDescent="0.25">
      <c r="A478"/>
      <c r="E478"/>
      <c r="J478"/>
      <c r="K478"/>
    </row>
    <row r="479" spans="1:11" hidden="1" x14ac:dyDescent="0.25">
      <c r="A479"/>
      <c r="E479"/>
      <c r="J479"/>
      <c r="K479"/>
    </row>
    <row r="480" spans="1:11" hidden="1" x14ac:dyDescent="0.25">
      <c r="A480"/>
      <c r="E480"/>
      <c r="J480"/>
      <c r="K480"/>
    </row>
    <row r="481" spans="1:11" hidden="1" x14ac:dyDescent="0.25">
      <c r="A481"/>
      <c r="E481"/>
      <c r="J481"/>
      <c r="K481"/>
    </row>
    <row r="482" spans="1:11" hidden="1" x14ac:dyDescent="0.25">
      <c r="A482"/>
      <c r="E482"/>
      <c r="J482"/>
      <c r="K482"/>
    </row>
    <row r="483" spans="1:11" hidden="1" x14ac:dyDescent="0.25">
      <c r="A483"/>
      <c r="E483"/>
      <c r="J483"/>
      <c r="K483"/>
    </row>
    <row r="484" spans="1:11" hidden="1" x14ac:dyDescent="0.25">
      <c r="A484"/>
      <c r="E484"/>
      <c r="J484"/>
      <c r="K484"/>
    </row>
    <row r="485" spans="1:11" hidden="1" x14ac:dyDescent="0.25">
      <c r="A485"/>
      <c r="E485"/>
      <c r="J485"/>
      <c r="K485"/>
    </row>
    <row r="486" spans="1:11" hidden="1" x14ac:dyDescent="0.25">
      <c r="A486"/>
      <c r="E486"/>
      <c r="J486"/>
      <c r="K486"/>
    </row>
    <row r="487" spans="1:11" hidden="1" x14ac:dyDescent="0.25">
      <c r="A487"/>
      <c r="E487"/>
      <c r="J487"/>
      <c r="K487"/>
    </row>
    <row r="488" spans="1:11" hidden="1" x14ac:dyDescent="0.25">
      <c r="A488"/>
      <c r="E488"/>
      <c r="J488"/>
      <c r="K488"/>
    </row>
    <row r="489" spans="1:11" hidden="1" x14ac:dyDescent="0.25">
      <c r="A489"/>
      <c r="E489"/>
      <c r="J489"/>
      <c r="K489"/>
    </row>
    <row r="490" spans="1:11" hidden="1" x14ac:dyDescent="0.25">
      <c r="A490"/>
      <c r="E490"/>
      <c r="J490"/>
      <c r="K490"/>
    </row>
    <row r="491" spans="1:11" hidden="1" x14ac:dyDescent="0.25">
      <c r="A491"/>
      <c r="E491"/>
      <c r="J491"/>
      <c r="K491"/>
    </row>
    <row r="492" spans="1:11" hidden="1" x14ac:dyDescent="0.25">
      <c r="A492"/>
      <c r="E492"/>
      <c r="J492"/>
      <c r="K492"/>
    </row>
    <row r="493" spans="1:11" hidden="1" x14ac:dyDescent="0.25">
      <c r="A493"/>
      <c r="E493"/>
      <c r="J493"/>
      <c r="K493"/>
    </row>
    <row r="494" spans="1:11" hidden="1" x14ac:dyDescent="0.25">
      <c r="A494"/>
      <c r="E494"/>
      <c r="J494"/>
      <c r="K494"/>
    </row>
    <row r="495" spans="1:11" hidden="1" x14ac:dyDescent="0.25">
      <c r="A495"/>
      <c r="E495"/>
      <c r="J495"/>
      <c r="K495"/>
    </row>
    <row r="496" spans="1:11" hidden="1" x14ac:dyDescent="0.25">
      <c r="A496"/>
      <c r="E496"/>
      <c r="J496"/>
      <c r="K496"/>
    </row>
    <row r="497" spans="1:11" hidden="1" x14ac:dyDescent="0.25">
      <c r="A497"/>
      <c r="E497"/>
      <c r="J497"/>
      <c r="K497"/>
    </row>
    <row r="498" spans="1:11" hidden="1" x14ac:dyDescent="0.25">
      <c r="A498"/>
      <c r="E498"/>
      <c r="J498"/>
      <c r="K498"/>
    </row>
    <row r="499" spans="1:11" hidden="1" x14ac:dyDescent="0.25">
      <c r="A499"/>
      <c r="E499"/>
      <c r="J499"/>
      <c r="K499"/>
    </row>
    <row r="500" spans="1:11" hidden="1" x14ac:dyDescent="0.25">
      <c r="A500"/>
      <c r="E500"/>
      <c r="J500"/>
      <c r="K500"/>
    </row>
    <row r="501" spans="1:11" hidden="1" x14ac:dyDescent="0.25">
      <c r="A501"/>
      <c r="E501"/>
      <c r="J501"/>
      <c r="K501"/>
    </row>
    <row r="502" spans="1:11" hidden="1" x14ac:dyDescent="0.25">
      <c r="A502"/>
      <c r="E502"/>
      <c r="J502"/>
      <c r="K502"/>
    </row>
    <row r="503" spans="1:11" hidden="1" x14ac:dyDescent="0.25">
      <c r="A503"/>
      <c r="E503"/>
      <c r="J503"/>
      <c r="K503"/>
    </row>
    <row r="504" spans="1:11" hidden="1" x14ac:dyDescent="0.25">
      <c r="A504"/>
      <c r="E504"/>
      <c r="J504"/>
      <c r="K504"/>
    </row>
    <row r="505" spans="1:11" hidden="1" x14ac:dyDescent="0.25">
      <c r="A505"/>
      <c r="E505"/>
      <c r="J505"/>
      <c r="K505"/>
    </row>
    <row r="506" spans="1:11" hidden="1" x14ac:dyDescent="0.25">
      <c r="A506"/>
      <c r="E506"/>
      <c r="J506"/>
      <c r="K506"/>
    </row>
    <row r="507" spans="1:11" hidden="1" x14ac:dyDescent="0.25">
      <c r="A507"/>
      <c r="E507"/>
      <c r="J507"/>
      <c r="K507"/>
    </row>
    <row r="508" spans="1:11" hidden="1" x14ac:dyDescent="0.25">
      <c r="A508"/>
      <c r="E508"/>
      <c r="J508"/>
      <c r="K508"/>
    </row>
    <row r="509" spans="1:11" hidden="1" x14ac:dyDescent="0.25">
      <c r="A509"/>
      <c r="E509"/>
      <c r="J509"/>
      <c r="K509"/>
    </row>
    <row r="510" spans="1:11" hidden="1" x14ac:dyDescent="0.25">
      <c r="A510"/>
      <c r="E510"/>
      <c r="J510"/>
      <c r="K510"/>
    </row>
    <row r="511" spans="1:11" hidden="1" x14ac:dyDescent="0.25">
      <c r="A511"/>
      <c r="E511"/>
      <c r="J511"/>
      <c r="K511"/>
    </row>
    <row r="512" spans="1:11" hidden="1" x14ac:dyDescent="0.25">
      <c r="A512"/>
      <c r="E512"/>
      <c r="J512"/>
      <c r="K512"/>
    </row>
    <row r="513" spans="1:11" hidden="1" x14ac:dyDescent="0.25">
      <c r="A513"/>
      <c r="E513"/>
      <c r="J513"/>
      <c r="K513"/>
    </row>
    <row r="514" spans="1:11" hidden="1" x14ac:dyDescent="0.25">
      <c r="A514"/>
      <c r="E514"/>
      <c r="J514"/>
      <c r="K514"/>
    </row>
    <row r="515" spans="1:11" hidden="1" x14ac:dyDescent="0.25">
      <c r="A515"/>
      <c r="E515"/>
      <c r="J515"/>
      <c r="K515"/>
    </row>
    <row r="516" spans="1:11" hidden="1" x14ac:dyDescent="0.25">
      <c r="A516"/>
      <c r="E516"/>
      <c r="J516"/>
      <c r="K516"/>
    </row>
    <row r="517" spans="1:11" hidden="1" x14ac:dyDescent="0.25">
      <c r="A517"/>
      <c r="E517"/>
      <c r="J517"/>
      <c r="K517"/>
    </row>
    <row r="518" spans="1:11" hidden="1" x14ac:dyDescent="0.25">
      <c r="A518"/>
      <c r="E518"/>
      <c r="J518"/>
      <c r="K518"/>
    </row>
    <row r="519" spans="1:11" hidden="1" x14ac:dyDescent="0.25">
      <c r="A519"/>
      <c r="E519"/>
      <c r="J519"/>
      <c r="K519"/>
    </row>
    <row r="520" spans="1:11" hidden="1" x14ac:dyDescent="0.25">
      <c r="A520"/>
      <c r="E520"/>
      <c r="J520"/>
      <c r="K520"/>
    </row>
    <row r="521" spans="1:11" hidden="1" x14ac:dyDescent="0.25">
      <c r="A521"/>
      <c r="E521"/>
      <c r="J521"/>
      <c r="K521"/>
    </row>
    <row r="522" spans="1:11" hidden="1" x14ac:dyDescent="0.25">
      <c r="E522"/>
      <c r="J522"/>
      <c r="K522"/>
    </row>
    <row r="523" spans="1:11" hidden="1" x14ac:dyDescent="0.25">
      <c r="E523"/>
      <c r="J523"/>
      <c r="K523"/>
    </row>
    <row r="524" spans="1:11" hidden="1" x14ac:dyDescent="0.25">
      <c r="J524"/>
      <c r="K524"/>
    </row>
    <row r="525" spans="1:11" hidden="1" x14ac:dyDescent="0.25">
      <c r="J525"/>
      <c r="K525"/>
    </row>
    <row r="526" spans="1:11" hidden="1" x14ac:dyDescent="0.25">
      <c r="J526"/>
      <c r="K526"/>
    </row>
    <row r="527" spans="1:11" hidden="1" x14ac:dyDescent="0.25">
      <c r="J527"/>
      <c r="K527"/>
    </row>
    <row r="528" spans="1:11" hidden="1" x14ac:dyDescent="0.25">
      <c r="J528"/>
      <c r="K528"/>
    </row>
    <row r="529" spans="10:11" hidden="1" x14ac:dyDescent="0.25">
      <c r="J529"/>
      <c r="K529"/>
    </row>
    <row r="530" spans="10:11" hidden="1" x14ac:dyDescent="0.25">
      <c r="J530"/>
      <c r="K530"/>
    </row>
    <row r="531" spans="10:11" hidden="1" x14ac:dyDescent="0.25">
      <c r="J531"/>
      <c r="K531"/>
    </row>
    <row r="532" spans="10:11" hidden="1" x14ac:dyDescent="0.25">
      <c r="J532"/>
      <c r="K532"/>
    </row>
    <row r="533" spans="10:11" hidden="1" x14ac:dyDescent="0.25">
      <c r="J533"/>
      <c r="K533"/>
    </row>
    <row r="534" spans="10:11" hidden="1" x14ac:dyDescent="0.25">
      <c r="J534"/>
      <c r="K534"/>
    </row>
    <row r="535" spans="10:11" hidden="1" x14ac:dyDescent="0.25">
      <c r="J535"/>
      <c r="K535"/>
    </row>
    <row r="536" spans="10:11" hidden="1" x14ac:dyDescent="0.25">
      <c r="J536"/>
      <c r="K536"/>
    </row>
    <row r="537" spans="10:11" hidden="1" x14ac:dyDescent="0.25">
      <c r="J537"/>
      <c r="K537"/>
    </row>
    <row r="538" spans="10:11" hidden="1" x14ac:dyDescent="0.25">
      <c r="J538"/>
      <c r="K538"/>
    </row>
    <row r="539" spans="10:11" hidden="1" x14ac:dyDescent="0.25">
      <c r="J539"/>
      <c r="K539"/>
    </row>
    <row r="540" spans="10:11" hidden="1" x14ac:dyDescent="0.25">
      <c r="J540"/>
      <c r="K540"/>
    </row>
    <row r="541" spans="10:11" hidden="1" x14ac:dyDescent="0.25">
      <c r="J541"/>
      <c r="K541"/>
    </row>
    <row r="542" spans="10:11" hidden="1" x14ac:dyDescent="0.25">
      <c r="J542"/>
      <c r="K542"/>
    </row>
    <row r="543" spans="10:11" hidden="1" x14ac:dyDescent="0.25">
      <c r="J543"/>
      <c r="K543"/>
    </row>
    <row r="544" spans="10:11" hidden="1" x14ac:dyDescent="0.25">
      <c r="J544"/>
      <c r="K544"/>
    </row>
    <row r="545" spans="10:11" hidden="1" x14ac:dyDescent="0.25">
      <c r="J545"/>
      <c r="K545"/>
    </row>
    <row r="546" spans="10:11" hidden="1" x14ac:dyDescent="0.25">
      <c r="J546"/>
      <c r="K546"/>
    </row>
    <row r="547" spans="10:11" hidden="1" x14ac:dyDescent="0.25">
      <c r="J547"/>
      <c r="K547"/>
    </row>
    <row r="548" spans="10:11" hidden="1" x14ac:dyDescent="0.25">
      <c r="J548"/>
      <c r="K548"/>
    </row>
    <row r="549" spans="10:11" hidden="1" x14ac:dyDescent="0.25">
      <c r="J549"/>
      <c r="K549"/>
    </row>
    <row r="550" spans="10:11" hidden="1" x14ac:dyDescent="0.25">
      <c r="J550"/>
      <c r="K550"/>
    </row>
    <row r="551" spans="10:11" hidden="1" x14ac:dyDescent="0.25">
      <c r="J551"/>
      <c r="K551"/>
    </row>
    <row r="552" spans="10:11" hidden="1" x14ac:dyDescent="0.25">
      <c r="J552"/>
      <c r="K552"/>
    </row>
    <row r="553" spans="10:11" hidden="1" x14ac:dyDescent="0.25">
      <c r="J553"/>
      <c r="K553"/>
    </row>
    <row r="554" spans="10:11" hidden="1" x14ac:dyDescent="0.25">
      <c r="J554"/>
      <c r="K554"/>
    </row>
    <row r="555" spans="10:11" hidden="1" x14ac:dyDescent="0.25">
      <c r="J555"/>
      <c r="K555"/>
    </row>
    <row r="556" spans="10:11" hidden="1" x14ac:dyDescent="0.25">
      <c r="J556"/>
      <c r="K556"/>
    </row>
    <row r="557" spans="10:11" hidden="1" x14ac:dyDescent="0.25">
      <c r="J557"/>
      <c r="K557"/>
    </row>
    <row r="558" spans="10:11" hidden="1" x14ac:dyDescent="0.25">
      <c r="J558"/>
      <c r="K558"/>
    </row>
    <row r="559" spans="10:11" hidden="1" x14ac:dyDescent="0.25">
      <c r="J559"/>
      <c r="K559"/>
    </row>
    <row r="560" spans="10:11" hidden="1" x14ac:dyDescent="0.25">
      <c r="J560"/>
      <c r="K560"/>
    </row>
    <row r="561" spans="10:11" hidden="1" x14ac:dyDescent="0.25">
      <c r="J561"/>
      <c r="K561"/>
    </row>
    <row r="562" spans="10:11" hidden="1" x14ac:dyDescent="0.25">
      <c r="J562"/>
      <c r="K562"/>
    </row>
    <row r="563" spans="10:11" hidden="1" x14ac:dyDescent="0.25">
      <c r="J563"/>
      <c r="K563"/>
    </row>
    <row r="564" spans="10:11" hidden="1" x14ac:dyDescent="0.25">
      <c r="J564"/>
      <c r="K564"/>
    </row>
    <row r="565" spans="10:11" hidden="1" x14ac:dyDescent="0.25">
      <c r="J565"/>
      <c r="K565"/>
    </row>
    <row r="566" spans="10:11" hidden="1" x14ac:dyDescent="0.25">
      <c r="J566"/>
      <c r="K566"/>
    </row>
    <row r="567" spans="10:11" hidden="1" x14ac:dyDescent="0.25">
      <c r="J567"/>
      <c r="K567"/>
    </row>
    <row r="568" spans="10:11" hidden="1" x14ac:dyDescent="0.25">
      <c r="J568"/>
      <c r="K568"/>
    </row>
    <row r="569" spans="10:11" hidden="1" x14ac:dyDescent="0.25">
      <c r="J569"/>
      <c r="K569"/>
    </row>
    <row r="570" spans="10:11" hidden="1" x14ac:dyDescent="0.25">
      <c r="J570"/>
      <c r="K570"/>
    </row>
    <row r="571" spans="10:11" hidden="1" x14ac:dyDescent="0.25">
      <c r="J571"/>
      <c r="K571"/>
    </row>
    <row r="572" spans="10:11" hidden="1" x14ac:dyDescent="0.25">
      <c r="J572"/>
      <c r="K572"/>
    </row>
    <row r="573" spans="10:11" hidden="1" x14ac:dyDescent="0.25">
      <c r="J573"/>
      <c r="K573"/>
    </row>
    <row r="574" spans="10:11" hidden="1" x14ac:dyDescent="0.25">
      <c r="J574"/>
      <c r="K574"/>
    </row>
    <row r="575" spans="10:11" hidden="1" x14ac:dyDescent="0.25">
      <c r="J575"/>
      <c r="K575"/>
    </row>
    <row r="576" spans="10:11" hidden="1" x14ac:dyDescent="0.25">
      <c r="J576"/>
      <c r="K576"/>
    </row>
    <row r="577" spans="10:11" hidden="1" x14ac:dyDescent="0.25">
      <c r="J577"/>
      <c r="K577"/>
    </row>
    <row r="578" spans="10:11" hidden="1" x14ac:dyDescent="0.25">
      <c r="J578"/>
      <c r="K578"/>
    </row>
    <row r="579" spans="10:11" hidden="1" x14ac:dyDescent="0.25">
      <c r="J579"/>
      <c r="K579"/>
    </row>
    <row r="580" spans="10:11" hidden="1" x14ac:dyDescent="0.25">
      <c r="J580"/>
      <c r="K580"/>
    </row>
    <row r="581" spans="10:11" hidden="1" x14ac:dyDescent="0.25">
      <c r="J581"/>
      <c r="K581"/>
    </row>
    <row r="582" spans="10:11" hidden="1" x14ac:dyDescent="0.25">
      <c r="J582"/>
      <c r="K582"/>
    </row>
    <row r="583" spans="10:11" hidden="1" x14ac:dyDescent="0.25">
      <c r="J583"/>
      <c r="K583"/>
    </row>
    <row r="584" spans="10:11" hidden="1" x14ac:dyDescent="0.25">
      <c r="J584"/>
      <c r="K584"/>
    </row>
    <row r="585" spans="10:11" hidden="1" x14ac:dyDescent="0.25">
      <c r="J585"/>
      <c r="K585"/>
    </row>
    <row r="586" spans="10:11" hidden="1" x14ac:dyDescent="0.25">
      <c r="J586"/>
      <c r="K586"/>
    </row>
    <row r="587" spans="10:11" hidden="1" x14ac:dyDescent="0.25">
      <c r="J587"/>
      <c r="K587"/>
    </row>
    <row r="588" spans="10:11" hidden="1" x14ac:dyDescent="0.25">
      <c r="J588"/>
      <c r="K588"/>
    </row>
    <row r="589" spans="10:11" hidden="1" x14ac:dyDescent="0.25">
      <c r="J589"/>
      <c r="K589"/>
    </row>
    <row r="590" spans="10:11" hidden="1" x14ac:dyDescent="0.25">
      <c r="J590"/>
      <c r="K590"/>
    </row>
    <row r="591" spans="10:11" hidden="1" x14ac:dyDescent="0.25">
      <c r="J591"/>
      <c r="K591"/>
    </row>
    <row r="592" spans="10:11" hidden="1" x14ac:dyDescent="0.25">
      <c r="J592"/>
      <c r="K592"/>
    </row>
    <row r="593" spans="10:11" hidden="1" x14ac:dyDescent="0.25">
      <c r="J593"/>
      <c r="K593"/>
    </row>
    <row r="594" spans="10:11" hidden="1" x14ac:dyDescent="0.25">
      <c r="J594"/>
      <c r="K594"/>
    </row>
    <row r="595" spans="10:11" hidden="1" x14ac:dyDescent="0.25">
      <c r="J595"/>
      <c r="K595"/>
    </row>
    <row r="596" spans="10:11" hidden="1" x14ac:dyDescent="0.25">
      <c r="J596"/>
      <c r="K596"/>
    </row>
    <row r="597" spans="10:11" hidden="1" x14ac:dyDescent="0.25">
      <c r="J597"/>
      <c r="K597"/>
    </row>
    <row r="598" spans="10:11" hidden="1" x14ac:dyDescent="0.25">
      <c r="J598"/>
      <c r="K598"/>
    </row>
    <row r="599" spans="10:11" hidden="1" x14ac:dyDescent="0.25">
      <c r="J599"/>
      <c r="K599"/>
    </row>
    <row r="600" spans="10:11" hidden="1" x14ac:dyDescent="0.25">
      <c r="J600"/>
      <c r="K600"/>
    </row>
    <row r="601" spans="10:11" hidden="1" x14ac:dyDescent="0.25">
      <c r="J601"/>
      <c r="K601"/>
    </row>
    <row r="602" spans="10:11" hidden="1" x14ac:dyDescent="0.25">
      <c r="J602"/>
      <c r="K602"/>
    </row>
    <row r="603" spans="10:11" hidden="1" x14ac:dyDescent="0.25">
      <c r="J603"/>
      <c r="K603"/>
    </row>
    <row r="604" spans="10:11" hidden="1" x14ac:dyDescent="0.25">
      <c r="J604"/>
      <c r="K604"/>
    </row>
    <row r="605" spans="10:11" hidden="1" x14ac:dyDescent="0.25">
      <c r="J605"/>
      <c r="K605"/>
    </row>
    <row r="606" spans="10:11" hidden="1" x14ac:dyDescent="0.25">
      <c r="J606"/>
      <c r="K606"/>
    </row>
    <row r="607" spans="10:11" hidden="1" x14ac:dyDescent="0.25">
      <c r="J607"/>
      <c r="K607"/>
    </row>
    <row r="608" spans="10:11" hidden="1" x14ac:dyDescent="0.25">
      <c r="J608"/>
      <c r="K608"/>
    </row>
    <row r="609" spans="10:11" hidden="1" x14ac:dyDescent="0.25">
      <c r="J609"/>
      <c r="K609"/>
    </row>
    <row r="610" spans="10:11" hidden="1" x14ac:dyDescent="0.25">
      <c r="J610"/>
      <c r="K610"/>
    </row>
    <row r="611" spans="10:11" hidden="1" x14ac:dyDescent="0.25">
      <c r="J611"/>
      <c r="K611"/>
    </row>
    <row r="612" spans="10:11" hidden="1" x14ac:dyDescent="0.25">
      <c r="J612"/>
      <c r="K612"/>
    </row>
    <row r="613" spans="10:11" hidden="1" x14ac:dyDescent="0.25">
      <c r="J613"/>
      <c r="K613"/>
    </row>
    <row r="614" spans="10:11" hidden="1" x14ac:dyDescent="0.25">
      <c r="J614"/>
      <c r="K614"/>
    </row>
    <row r="615" spans="10:11" hidden="1" x14ac:dyDescent="0.25">
      <c r="J615"/>
      <c r="K615"/>
    </row>
    <row r="616" spans="10:11" hidden="1" x14ac:dyDescent="0.25">
      <c r="J616"/>
      <c r="K616"/>
    </row>
    <row r="617" spans="10:11" hidden="1" x14ac:dyDescent="0.25">
      <c r="J617"/>
      <c r="K617"/>
    </row>
    <row r="618" spans="10:11" hidden="1" x14ac:dyDescent="0.25">
      <c r="J618"/>
      <c r="K618"/>
    </row>
    <row r="619" spans="10:11" hidden="1" x14ac:dyDescent="0.25">
      <c r="J619"/>
      <c r="K619"/>
    </row>
    <row r="620" spans="10:11" hidden="1" x14ac:dyDescent="0.25">
      <c r="J620"/>
      <c r="K620"/>
    </row>
    <row r="621" spans="10:11" hidden="1" x14ac:dyDescent="0.25">
      <c r="J621"/>
      <c r="K621"/>
    </row>
    <row r="622" spans="10:11" hidden="1" x14ac:dyDescent="0.25">
      <c r="J622"/>
      <c r="K622"/>
    </row>
    <row r="623" spans="10:11" hidden="1" x14ac:dyDescent="0.25">
      <c r="J623"/>
      <c r="K623"/>
    </row>
    <row r="624" spans="10:11" hidden="1" x14ac:dyDescent="0.25">
      <c r="J624"/>
      <c r="K624"/>
    </row>
    <row r="625" spans="10:11" hidden="1" x14ac:dyDescent="0.25">
      <c r="J625"/>
      <c r="K625"/>
    </row>
    <row r="626" spans="10:11" hidden="1" x14ac:dyDescent="0.25">
      <c r="J626"/>
      <c r="K626"/>
    </row>
    <row r="627" spans="10:11" hidden="1" x14ac:dyDescent="0.25">
      <c r="J627"/>
      <c r="K627"/>
    </row>
    <row r="628" spans="10:11" hidden="1" x14ac:dyDescent="0.25">
      <c r="J628"/>
      <c r="K628"/>
    </row>
    <row r="629" spans="10:11" hidden="1" x14ac:dyDescent="0.25">
      <c r="J629"/>
      <c r="K629"/>
    </row>
    <row r="630" spans="10:11" hidden="1" x14ac:dyDescent="0.25">
      <c r="J630"/>
      <c r="K630"/>
    </row>
    <row r="631" spans="10:11" hidden="1" x14ac:dyDescent="0.25">
      <c r="J631"/>
      <c r="K631"/>
    </row>
    <row r="632" spans="10:11" hidden="1" x14ac:dyDescent="0.25">
      <c r="J632"/>
      <c r="K632"/>
    </row>
    <row r="633" spans="10:11" hidden="1" x14ac:dyDescent="0.25">
      <c r="J633"/>
      <c r="K633"/>
    </row>
    <row r="634" spans="10:11" hidden="1" x14ac:dyDescent="0.25">
      <c r="J634"/>
      <c r="K634"/>
    </row>
    <row r="635" spans="10:11" hidden="1" x14ac:dyDescent="0.25">
      <c r="J635"/>
      <c r="K635"/>
    </row>
    <row r="636" spans="10:11" hidden="1" x14ac:dyDescent="0.25">
      <c r="J636"/>
      <c r="K636"/>
    </row>
    <row r="637" spans="10:11" hidden="1" x14ac:dyDescent="0.25">
      <c r="J637"/>
      <c r="K637"/>
    </row>
    <row r="638" spans="10:11" hidden="1" x14ac:dyDescent="0.25">
      <c r="J638"/>
      <c r="K638"/>
    </row>
    <row r="639" spans="10:11" hidden="1" x14ac:dyDescent="0.25">
      <c r="J639"/>
      <c r="K639"/>
    </row>
    <row r="640" spans="10:11" hidden="1" x14ac:dyDescent="0.25">
      <c r="J640"/>
      <c r="K640"/>
    </row>
    <row r="641" spans="10:11" hidden="1" x14ac:dyDescent="0.25">
      <c r="J641"/>
      <c r="K641"/>
    </row>
    <row r="642" spans="10:11" hidden="1" x14ac:dyDescent="0.25">
      <c r="J642"/>
      <c r="K642"/>
    </row>
    <row r="643" spans="10:11" hidden="1" x14ac:dyDescent="0.25">
      <c r="J643"/>
      <c r="K643"/>
    </row>
    <row r="644" spans="10:11" hidden="1" x14ac:dyDescent="0.25">
      <c r="J644"/>
      <c r="K644"/>
    </row>
    <row r="645" spans="10:11" hidden="1" x14ac:dyDescent="0.25">
      <c r="J645"/>
      <c r="K645"/>
    </row>
    <row r="646" spans="10:11" hidden="1" x14ac:dyDescent="0.25">
      <c r="J646"/>
      <c r="K646"/>
    </row>
    <row r="647" spans="10:11" hidden="1" x14ac:dyDescent="0.25">
      <c r="J647"/>
      <c r="K647"/>
    </row>
    <row r="648" spans="10:11" hidden="1" x14ac:dyDescent="0.25">
      <c r="J648"/>
      <c r="K648"/>
    </row>
    <row r="649" spans="10:11" hidden="1" x14ac:dyDescent="0.25">
      <c r="J649"/>
      <c r="K649"/>
    </row>
    <row r="650" spans="10:11" hidden="1" x14ac:dyDescent="0.25">
      <c r="J650"/>
      <c r="K650"/>
    </row>
    <row r="651" spans="10:11" hidden="1" x14ac:dyDescent="0.25">
      <c r="J651"/>
      <c r="K651"/>
    </row>
    <row r="652" spans="10:11" hidden="1" x14ac:dyDescent="0.25">
      <c r="J652"/>
      <c r="K652"/>
    </row>
    <row r="653" spans="10:11" hidden="1" x14ac:dyDescent="0.25">
      <c r="J653"/>
      <c r="K653"/>
    </row>
    <row r="654" spans="10:11" hidden="1" x14ac:dyDescent="0.25">
      <c r="J654"/>
      <c r="K654"/>
    </row>
    <row r="655" spans="10:11" hidden="1" x14ac:dyDescent="0.25">
      <c r="J655"/>
      <c r="K655"/>
    </row>
    <row r="656" spans="10:11" hidden="1" x14ac:dyDescent="0.25">
      <c r="J656"/>
      <c r="K656"/>
    </row>
    <row r="657" spans="10:11" hidden="1" x14ac:dyDescent="0.25">
      <c r="J657"/>
      <c r="K657"/>
    </row>
    <row r="658" spans="10:11" hidden="1" x14ac:dyDescent="0.25">
      <c r="J658"/>
      <c r="K658"/>
    </row>
    <row r="659" spans="10:11" hidden="1" x14ac:dyDescent="0.25">
      <c r="J659"/>
      <c r="K659"/>
    </row>
    <row r="660" spans="10:11" hidden="1" x14ac:dyDescent="0.25">
      <c r="J660"/>
      <c r="K660"/>
    </row>
    <row r="661" spans="10:11" hidden="1" x14ac:dyDescent="0.25">
      <c r="J661"/>
      <c r="K661"/>
    </row>
    <row r="662" spans="10:11" hidden="1" x14ac:dyDescent="0.25">
      <c r="J662"/>
      <c r="K662"/>
    </row>
    <row r="663" spans="10:11" hidden="1" x14ac:dyDescent="0.25">
      <c r="J663"/>
      <c r="K663"/>
    </row>
    <row r="664" spans="10:11" hidden="1" x14ac:dyDescent="0.25">
      <c r="J664"/>
      <c r="K664"/>
    </row>
    <row r="665" spans="10:11" hidden="1" x14ac:dyDescent="0.25">
      <c r="J665"/>
      <c r="K665"/>
    </row>
    <row r="666" spans="10:11" hidden="1" x14ac:dyDescent="0.25">
      <c r="J666"/>
      <c r="K666"/>
    </row>
    <row r="667" spans="10:11" hidden="1" x14ac:dyDescent="0.25">
      <c r="J667"/>
      <c r="K667"/>
    </row>
    <row r="668" spans="10:11" hidden="1" x14ac:dyDescent="0.25">
      <c r="J668"/>
      <c r="K668"/>
    </row>
    <row r="669" spans="10:11" hidden="1" x14ac:dyDescent="0.25">
      <c r="J669"/>
      <c r="K669"/>
    </row>
    <row r="670" spans="10:11" hidden="1" x14ac:dyDescent="0.25">
      <c r="J670"/>
      <c r="K670"/>
    </row>
    <row r="671" spans="10:11" hidden="1" x14ac:dyDescent="0.25">
      <c r="J671"/>
      <c r="K671"/>
    </row>
    <row r="672" spans="10:11" hidden="1" x14ac:dyDescent="0.25">
      <c r="J672"/>
      <c r="K672"/>
    </row>
    <row r="673" spans="10:11" hidden="1" x14ac:dyDescent="0.25">
      <c r="J673"/>
      <c r="K673"/>
    </row>
    <row r="674" spans="10:11" hidden="1" x14ac:dyDescent="0.25">
      <c r="J674"/>
      <c r="K674"/>
    </row>
    <row r="675" spans="10:11" hidden="1" x14ac:dyDescent="0.25">
      <c r="J675"/>
      <c r="K675"/>
    </row>
    <row r="676" spans="10:11" hidden="1" x14ac:dyDescent="0.25">
      <c r="J676"/>
      <c r="K676"/>
    </row>
    <row r="677" spans="10:11" hidden="1" x14ac:dyDescent="0.25">
      <c r="J677"/>
      <c r="K677"/>
    </row>
    <row r="678" spans="10:11" hidden="1" x14ac:dyDescent="0.25">
      <c r="J678"/>
      <c r="K678"/>
    </row>
    <row r="679" spans="10:11" hidden="1" x14ac:dyDescent="0.25">
      <c r="J679"/>
      <c r="K679"/>
    </row>
    <row r="680" spans="10:11" hidden="1" x14ac:dyDescent="0.25">
      <c r="J680"/>
      <c r="K680"/>
    </row>
    <row r="681" spans="10:11" hidden="1" x14ac:dyDescent="0.25">
      <c r="J681"/>
      <c r="K681"/>
    </row>
    <row r="682" spans="10:11" hidden="1" x14ac:dyDescent="0.25">
      <c r="J682"/>
      <c r="K682"/>
    </row>
    <row r="683" spans="10:11" hidden="1" x14ac:dyDescent="0.25">
      <c r="J683"/>
      <c r="K683"/>
    </row>
    <row r="684" spans="10:11" hidden="1" x14ac:dyDescent="0.25">
      <c r="J684"/>
      <c r="K684"/>
    </row>
    <row r="685" spans="10:11" hidden="1" x14ac:dyDescent="0.25">
      <c r="J685"/>
      <c r="K685"/>
    </row>
    <row r="686" spans="10:11" hidden="1" x14ac:dyDescent="0.25">
      <c r="J686"/>
      <c r="K686"/>
    </row>
    <row r="687" spans="10:11" hidden="1" x14ac:dyDescent="0.25">
      <c r="J687"/>
      <c r="K687"/>
    </row>
    <row r="688" spans="10:11" hidden="1" x14ac:dyDescent="0.25">
      <c r="J688"/>
      <c r="K688"/>
    </row>
    <row r="689" spans="10:11" hidden="1" x14ac:dyDescent="0.25">
      <c r="J689"/>
      <c r="K689"/>
    </row>
    <row r="690" spans="10:11" hidden="1" x14ac:dyDescent="0.25">
      <c r="J690"/>
      <c r="K690"/>
    </row>
    <row r="691" spans="10:11" hidden="1" x14ac:dyDescent="0.25">
      <c r="J691"/>
      <c r="K691"/>
    </row>
    <row r="692" spans="10:11" hidden="1" x14ac:dyDescent="0.25">
      <c r="J692"/>
      <c r="K692"/>
    </row>
    <row r="693" spans="10:11" hidden="1" x14ac:dyDescent="0.25">
      <c r="J693"/>
      <c r="K693"/>
    </row>
    <row r="694" spans="10:11" hidden="1" x14ac:dyDescent="0.25">
      <c r="J694"/>
      <c r="K694"/>
    </row>
    <row r="695" spans="10:11" hidden="1" x14ac:dyDescent="0.25">
      <c r="J695"/>
      <c r="K695"/>
    </row>
    <row r="696" spans="10:11" hidden="1" x14ac:dyDescent="0.25">
      <c r="J696"/>
      <c r="K696"/>
    </row>
    <row r="697" spans="10:11" hidden="1" x14ac:dyDescent="0.25">
      <c r="J697"/>
      <c r="K697"/>
    </row>
    <row r="698" spans="10:11" hidden="1" x14ac:dyDescent="0.25">
      <c r="J698"/>
      <c r="K698"/>
    </row>
    <row r="699" spans="10:11" hidden="1" x14ac:dyDescent="0.25">
      <c r="J699"/>
      <c r="K699"/>
    </row>
    <row r="700" spans="10:11" hidden="1" x14ac:dyDescent="0.25">
      <c r="J700"/>
      <c r="K700"/>
    </row>
    <row r="701" spans="10:11" hidden="1" x14ac:dyDescent="0.25">
      <c r="J701"/>
      <c r="K701"/>
    </row>
    <row r="702" spans="10:11" hidden="1" x14ac:dyDescent="0.25">
      <c r="J702"/>
      <c r="K702"/>
    </row>
    <row r="703" spans="10:11" hidden="1" x14ac:dyDescent="0.25">
      <c r="J703"/>
      <c r="K703"/>
    </row>
    <row r="704" spans="10:11" hidden="1" x14ac:dyDescent="0.25">
      <c r="J704"/>
      <c r="K704"/>
    </row>
    <row r="705" spans="10:11" hidden="1" x14ac:dyDescent="0.25">
      <c r="J705"/>
      <c r="K705"/>
    </row>
    <row r="706" spans="10:11" hidden="1" x14ac:dyDescent="0.25">
      <c r="J706"/>
      <c r="K706"/>
    </row>
    <row r="707" spans="10:11" hidden="1" x14ac:dyDescent="0.25">
      <c r="J707"/>
      <c r="K707"/>
    </row>
    <row r="708" spans="10:11" hidden="1" x14ac:dyDescent="0.25">
      <c r="J708"/>
      <c r="K708"/>
    </row>
    <row r="709" spans="10:11" hidden="1" x14ac:dyDescent="0.25">
      <c r="J709"/>
      <c r="K709"/>
    </row>
    <row r="710" spans="10:11" hidden="1" x14ac:dyDescent="0.25">
      <c r="J710"/>
      <c r="K710"/>
    </row>
    <row r="711" spans="10:11" hidden="1" x14ac:dyDescent="0.25">
      <c r="J711"/>
      <c r="K711"/>
    </row>
    <row r="712" spans="10:11" hidden="1" x14ac:dyDescent="0.25">
      <c r="J712"/>
      <c r="K712"/>
    </row>
    <row r="713" spans="10:11" hidden="1" x14ac:dyDescent="0.25">
      <c r="J713"/>
      <c r="K713"/>
    </row>
    <row r="714" spans="10:11" hidden="1" x14ac:dyDescent="0.25">
      <c r="J714"/>
      <c r="K714"/>
    </row>
    <row r="715" spans="10:11" hidden="1" x14ac:dyDescent="0.25">
      <c r="J715"/>
      <c r="K715"/>
    </row>
    <row r="716" spans="10:11" hidden="1" x14ac:dyDescent="0.25">
      <c r="J716"/>
      <c r="K716"/>
    </row>
    <row r="717" spans="10:11" hidden="1" x14ac:dyDescent="0.25">
      <c r="J717"/>
      <c r="K717"/>
    </row>
    <row r="718" spans="10:11" hidden="1" x14ac:dyDescent="0.25">
      <c r="J718"/>
      <c r="K718"/>
    </row>
    <row r="719" spans="10:11" hidden="1" x14ac:dyDescent="0.25">
      <c r="J719"/>
      <c r="K719"/>
    </row>
    <row r="720" spans="10:11" hidden="1" x14ac:dyDescent="0.25">
      <c r="J720"/>
      <c r="K720"/>
    </row>
    <row r="721" spans="10:11" hidden="1" x14ac:dyDescent="0.25">
      <c r="J721"/>
      <c r="K721"/>
    </row>
    <row r="722" spans="10:11" hidden="1" x14ac:dyDescent="0.25">
      <c r="J722"/>
      <c r="K722"/>
    </row>
    <row r="723" spans="10:11" hidden="1" x14ac:dyDescent="0.25">
      <c r="J723"/>
      <c r="K723"/>
    </row>
    <row r="724" spans="10:11" hidden="1" x14ac:dyDescent="0.25">
      <c r="J724"/>
      <c r="K724"/>
    </row>
    <row r="725" spans="10:11" hidden="1" x14ac:dyDescent="0.25">
      <c r="J725"/>
      <c r="K725"/>
    </row>
    <row r="726" spans="10:11" hidden="1" x14ac:dyDescent="0.25">
      <c r="J726"/>
      <c r="K726"/>
    </row>
    <row r="727" spans="10:11" hidden="1" x14ac:dyDescent="0.25">
      <c r="J727"/>
      <c r="K727"/>
    </row>
    <row r="728" spans="10:11" hidden="1" x14ac:dyDescent="0.25">
      <c r="J728"/>
      <c r="K728"/>
    </row>
    <row r="729" spans="10:11" hidden="1" x14ac:dyDescent="0.25">
      <c r="J729"/>
      <c r="K729"/>
    </row>
    <row r="730" spans="10:11" hidden="1" x14ac:dyDescent="0.25">
      <c r="J730"/>
      <c r="K730"/>
    </row>
    <row r="731" spans="10:11" hidden="1" x14ac:dyDescent="0.25">
      <c r="J731"/>
      <c r="K731"/>
    </row>
    <row r="732" spans="10:11" hidden="1" x14ac:dyDescent="0.25">
      <c r="J732"/>
      <c r="K732"/>
    </row>
    <row r="733" spans="10:11" hidden="1" x14ac:dyDescent="0.25">
      <c r="J733"/>
      <c r="K733"/>
    </row>
    <row r="734" spans="10:11" hidden="1" x14ac:dyDescent="0.25">
      <c r="J734"/>
      <c r="K734"/>
    </row>
    <row r="735" spans="10:11" hidden="1" x14ac:dyDescent="0.25">
      <c r="J735"/>
      <c r="K735"/>
    </row>
    <row r="736" spans="10:11" hidden="1" x14ac:dyDescent="0.25">
      <c r="J736"/>
      <c r="K736"/>
    </row>
    <row r="737" spans="10:11" hidden="1" x14ac:dyDescent="0.25">
      <c r="J737"/>
      <c r="K737"/>
    </row>
    <row r="738" spans="10:11" hidden="1" x14ac:dyDescent="0.25">
      <c r="J738"/>
      <c r="K738"/>
    </row>
    <row r="739" spans="10:11" hidden="1" x14ac:dyDescent="0.25">
      <c r="J739"/>
      <c r="K739"/>
    </row>
    <row r="740" spans="10:11" hidden="1" x14ac:dyDescent="0.25">
      <c r="J740"/>
      <c r="K740"/>
    </row>
    <row r="741" spans="10:11" hidden="1" x14ac:dyDescent="0.25">
      <c r="J741"/>
      <c r="K741"/>
    </row>
    <row r="742" spans="10:11" hidden="1" x14ac:dyDescent="0.25">
      <c r="J742"/>
      <c r="K742"/>
    </row>
    <row r="743" spans="10:11" hidden="1" x14ac:dyDescent="0.25">
      <c r="J743"/>
      <c r="K743"/>
    </row>
    <row r="744" spans="10:11" hidden="1" x14ac:dyDescent="0.25">
      <c r="J744"/>
      <c r="K744"/>
    </row>
    <row r="745" spans="10:11" hidden="1" x14ac:dyDescent="0.25">
      <c r="J745"/>
      <c r="K745"/>
    </row>
    <row r="746" spans="10:11" hidden="1" x14ac:dyDescent="0.25">
      <c r="J746"/>
      <c r="K746"/>
    </row>
    <row r="747" spans="10:11" hidden="1" x14ac:dyDescent="0.25">
      <c r="J747"/>
      <c r="K747"/>
    </row>
    <row r="748" spans="10:11" hidden="1" x14ac:dyDescent="0.25">
      <c r="J748"/>
      <c r="K748"/>
    </row>
    <row r="749" spans="10:11" hidden="1" x14ac:dyDescent="0.25">
      <c r="J749"/>
      <c r="K749"/>
    </row>
    <row r="750" spans="10:11" hidden="1" x14ac:dyDescent="0.25">
      <c r="J750"/>
      <c r="K750"/>
    </row>
    <row r="751" spans="10:11" hidden="1" x14ac:dyDescent="0.25">
      <c r="J751"/>
      <c r="K751"/>
    </row>
    <row r="752" spans="10:11" hidden="1" x14ac:dyDescent="0.25">
      <c r="J752"/>
      <c r="K752"/>
    </row>
    <row r="753" spans="10:11" hidden="1" x14ac:dyDescent="0.25">
      <c r="J753"/>
      <c r="K753"/>
    </row>
    <row r="754" spans="10:11" hidden="1" x14ac:dyDescent="0.25">
      <c r="J754"/>
      <c r="K754"/>
    </row>
    <row r="755" spans="10:11" hidden="1" x14ac:dyDescent="0.25">
      <c r="J755"/>
      <c r="K755"/>
    </row>
    <row r="756" spans="10:11" hidden="1" x14ac:dyDescent="0.25">
      <c r="J756"/>
      <c r="K756"/>
    </row>
    <row r="757" spans="10:11" hidden="1" x14ac:dyDescent="0.25">
      <c r="J757"/>
      <c r="K757"/>
    </row>
    <row r="758" spans="10:11" hidden="1" x14ac:dyDescent="0.25">
      <c r="J758"/>
      <c r="K758"/>
    </row>
    <row r="759" spans="10:11" hidden="1" x14ac:dyDescent="0.25">
      <c r="J759"/>
      <c r="K759"/>
    </row>
    <row r="760" spans="10:11" hidden="1" x14ac:dyDescent="0.25">
      <c r="J760"/>
      <c r="K760"/>
    </row>
    <row r="761" spans="10:11" hidden="1" x14ac:dyDescent="0.25">
      <c r="J761"/>
      <c r="K761"/>
    </row>
    <row r="762" spans="10:11" hidden="1" x14ac:dyDescent="0.25">
      <c r="J762"/>
      <c r="K762"/>
    </row>
    <row r="763" spans="10:11" hidden="1" x14ac:dyDescent="0.25">
      <c r="J763"/>
      <c r="K763"/>
    </row>
    <row r="764" spans="10:11" hidden="1" x14ac:dyDescent="0.25">
      <c r="J764"/>
      <c r="K764"/>
    </row>
    <row r="765" spans="10:11" hidden="1" x14ac:dyDescent="0.25">
      <c r="J765"/>
      <c r="K765"/>
    </row>
    <row r="766" spans="10:11" hidden="1" x14ac:dyDescent="0.25">
      <c r="J766"/>
      <c r="K766"/>
    </row>
    <row r="767" spans="10:11" hidden="1" x14ac:dyDescent="0.25">
      <c r="J767"/>
      <c r="K767"/>
    </row>
    <row r="768" spans="10:11" hidden="1" x14ac:dyDescent="0.25">
      <c r="J768"/>
      <c r="K768"/>
    </row>
    <row r="769" spans="10:11" hidden="1" x14ac:dyDescent="0.25">
      <c r="J769"/>
      <c r="K769"/>
    </row>
    <row r="770" spans="10:11" hidden="1" x14ac:dyDescent="0.25">
      <c r="J770"/>
      <c r="K770"/>
    </row>
    <row r="771" spans="10:11" hidden="1" x14ac:dyDescent="0.25">
      <c r="J771"/>
      <c r="K771"/>
    </row>
    <row r="772" spans="10:11" hidden="1" x14ac:dyDescent="0.25">
      <c r="J772"/>
      <c r="K772"/>
    </row>
    <row r="773" spans="10:11" hidden="1" x14ac:dyDescent="0.25">
      <c r="J773"/>
      <c r="K773"/>
    </row>
    <row r="774" spans="10:11" hidden="1" x14ac:dyDescent="0.25">
      <c r="J774"/>
      <c r="K774"/>
    </row>
    <row r="775" spans="10:11" hidden="1" x14ac:dyDescent="0.25">
      <c r="J775"/>
      <c r="K775"/>
    </row>
    <row r="776" spans="10:11" hidden="1" x14ac:dyDescent="0.25">
      <c r="J776"/>
      <c r="K776"/>
    </row>
    <row r="777" spans="10:11" hidden="1" x14ac:dyDescent="0.25">
      <c r="J777"/>
      <c r="K777"/>
    </row>
    <row r="778" spans="10:11" hidden="1" x14ac:dyDescent="0.25">
      <c r="J778"/>
      <c r="K778"/>
    </row>
    <row r="779" spans="10:11" hidden="1" x14ac:dyDescent="0.25">
      <c r="J779"/>
      <c r="K779"/>
    </row>
    <row r="780" spans="10:11" hidden="1" x14ac:dyDescent="0.25">
      <c r="J780"/>
      <c r="K780"/>
    </row>
    <row r="781" spans="10:11" hidden="1" x14ac:dyDescent="0.25">
      <c r="J781"/>
      <c r="K781"/>
    </row>
    <row r="782" spans="10:11" hidden="1" x14ac:dyDescent="0.25">
      <c r="J782"/>
      <c r="K782"/>
    </row>
    <row r="783" spans="10:11" hidden="1" x14ac:dyDescent="0.25">
      <c r="J783"/>
      <c r="K783"/>
    </row>
    <row r="784" spans="10:11" hidden="1" x14ac:dyDescent="0.25">
      <c r="J784"/>
      <c r="K784"/>
    </row>
    <row r="785" spans="10:11" hidden="1" x14ac:dyDescent="0.25">
      <c r="J785"/>
      <c r="K785"/>
    </row>
    <row r="786" spans="10:11" hidden="1" x14ac:dyDescent="0.25">
      <c r="J786"/>
      <c r="K786"/>
    </row>
    <row r="787" spans="10:11" hidden="1" x14ac:dyDescent="0.25">
      <c r="J787"/>
      <c r="K787"/>
    </row>
    <row r="788" spans="10:11" hidden="1" x14ac:dyDescent="0.25">
      <c r="J788"/>
      <c r="K788"/>
    </row>
    <row r="789" spans="10:11" hidden="1" x14ac:dyDescent="0.25">
      <c r="J789"/>
      <c r="K789"/>
    </row>
    <row r="790" spans="10:11" hidden="1" x14ac:dyDescent="0.25">
      <c r="J790"/>
      <c r="K790"/>
    </row>
    <row r="791" spans="10:11" hidden="1" x14ac:dyDescent="0.25">
      <c r="J791"/>
      <c r="K791"/>
    </row>
    <row r="792" spans="10:11" hidden="1" x14ac:dyDescent="0.25">
      <c r="J792"/>
      <c r="K792"/>
    </row>
    <row r="793" spans="10:11" hidden="1" x14ac:dyDescent="0.25">
      <c r="J793"/>
      <c r="K793"/>
    </row>
    <row r="794" spans="10:11" hidden="1" x14ac:dyDescent="0.25">
      <c r="J794"/>
      <c r="K794"/>
    </row>
    <row r="795" spans="10:11" hidden="1" x14ac:dyDescent="0.25">
      <c r="J795"/>
      <c r="K795"/>
    </row>
    <row r="796" spans="10:11" hidden="1" x14ac:dyDescent="0.25">
      <c r="J796"/>
      <c r="K796"/>
    </row>
    <row r="797" spans="10:11" hidden="1" x14ac:dyDescent="0.25">
      <c r="J797"/>
      <c r="K797"/>
    </row>
    <row r="798" spans="10:11" hidden="1" x14ac:dyDescent="0.25">
      <c r="J798"/>
      <c r="K798"/>
    </row>
    <row r="799" spans="10:11" hidden="1" x14ac:dyDescent="0.25">
      <c r="J799"/>
      <c r="K799"/>
    </row>
    <row r="800" spans="10:11" hidden="1" x14ac:dyDescent="0.25">
      <c r="J800"/>
      <c r="K800"/>
    </row>
    <row r="801" spans="10:11" hidden="1" x14ac:dyDescent="0.25">
      <c r="J801"/>
      <c r="K801"/>
    </row>
    <row r="802" spans="10:11" hidden="1" x14ac:dyDescent="0.25">
      <c r="J802"/>
      <c r="K802"/>
    </row>
    <row r="803" spans="10:11" hidden="1" x14ac:dyDescent="0.25">
      <c r="J803"/>
      <c r="K803"/>
    </row>
    <row r="804" spans="10:11" hidden="1" x14ac:dyDescent="0.25">
      <c r="J804"/>
      <c r="K804"/>
    </row>
    <row r="805" spans="10:11" hidden="1" x14ac:dyDescent="0.25">
      <c r="J805"/>
      <c r="K805"/>
    </row>
    <row r="806" spans="10:11" hidden="1" x14ac:dyDescent="0.25">
      <c r="J806"/>
      <c r="K806"/>
    </row>
    <row r="807" spans="10:11" hidden="1" x14ac:dyDescent="0.25">
      <c r="J807"/>
      <c r="K807"/>
    </row>
    <row r="808" spans="10:11" hidden="1" x14ac:dyDescent="0.25">
      <c r="J808"/>
      <c r="K808"/>
    </row>
    <row r="809" spans="10:11" hidden="1" x14ac:dyDescent="0.25">
      <c r="J809"/>
      <c r="K809"/>
    </row>
    <row r="810" spans="10:11" hidden="1" x14ac:dyDescent="0.25">
      <c r="J810"/>
      <c r="K810"/>
    </row>
    <row r="811" spans="10:11" hidden="1" x14ac:dyDescent="0.25">
      <c r="J811"/>
      <c r="K811"/>
    </row>
    <row r="812" spans="10:11" hidden="1" x14ac:dyDescent="0.25">
      <c r="J812"/>
      <c r="K812"/>
    </row>
    <row r="813" spans="10:11" hidden="1" x14ac:dyDescent="0.25">
      <c r="J813"/>
      <c r="K813"/>
    </row>
    <row r="814" spans="10:11" hidden="1" x14ac:dyDescent="0.25">
      <c r="J814"/>
      <c r="K814"/>
    </row>
    <row r="815" spans="10:11" hidden="1" x14ac:dyDescent="0.25">
      <c r="J815"/>
      <c r="K815"/>
    </row>
    <row r="816" spans="10:11" hidden="1" x14ac:dyDescent="0.25">
      <c r="J816"/>
      <c r="K816"/>
    </row>
    <row r="817" spans="10:11" hidden="1" x14ac:dyDescent="0.25">
      <c r="J817"/>
      <c r="K817"/>
    </row>
    <row r="818" spans="10:11" hidden="1" x14ac:dyDescent="0.25">
      <c r="J818"/>
      <c r="K818"/>
    </row>
    <row r="819" spans="10:11" hidden="1" x14ac:dyDescent="0.25">
      <c r="J819"/>
      <c r="K819"/>
    </row>
    <row r="820" spans="10:11" hidden="1" x14ac:dyDescent="0.25">
      <c r="J820"/>
      <c r="K820"/>
    </row>
    <row r="821" spans="10:11" hidden="1" x14ac:dyDescent="0.25">
      <c r="J821"/>
      <c r="K821"/>
    </row>
    <row r="822" spans="10:11" hidden="1" x14ac:dyDescent="0.25">
      <c r="J822"/>
      <c r="K822"/>
    </row>
    <row r="823" spans="10:11" hidden="1" x14ac:dyDescent="0.25">
      <c r="J823"/>
      <c r="K823"/>
    </row>
    <row r="824" spans="10:11" hidden="1" x14ac:dyDescent="0.25">
      <c r="J824"/>
      <c r="K824"/>
    </row>
    <row r="825" spans="10:11" hidden="1" x14ac:dyDescent="0.25">
      <c r="J825"/>
      <c r="K825"/>
    </row>
    <row r="826" spans="10:11" hidden="1" x14ac:dyDescent="0.25">
      <c r="J826"/>
      <c r="K826"/>
    </row>
    <row r="827" spans="10:11" hidden="1" x14ac:dyDescent="0.25">
      <c r="J827"/>
      <c r="K827"/>
    </row>
    <row r="828" spans="10:11" hidden="1" x14ac:dyDescent="0.25">
      <c r="J828"/>
      <c r="K828"/>
    </row>
    <row r="829" spans="10:11" hidden="1" x14ac:dyDescent="0.25">
      <c r="J829"/>
      <c r="K829"/>
    </row>
    <row r="830" spans="10:11" hidden="1" x14ac:dyDescent="0.25">
      <c r="J830"/>
      <c r="K830"/>
    </row>
    <row r="831" spans="10:11" hidden="1" x14ac:dyDescent="0.25">
      <c r="J831"/>
      <c r="K831"/>
    </row>
    <row r="832" spans="10:11" hidden="1" x14ac:dyDescent="0.25">
      <c r="J832"/>
      <c r="K832"/>
    </row>
    <row r="833" spans="10:11" hidden="1" x14ac:dyDescent="0.25">
      <c r="J833"/>
      <c r="K833"/>
    </row>
    <row r="834" spans="10:11" hidden="1" x14ac:dyDescent="0.25">
      <c r="J834"/>
      <c r="K834"/>
    </row>
    <row r="835" spans="10:11" hidden="1" x14ac:dyDescent="0.25">
      <c r="J835"/>
      <c r="K835"/>
    </row>
    <row r="836" spans="10:11" hidden="1" x14ac:dyDescent="0.25">
      <c r="J836"/>
      <c r="K836"/>
    </row>
    <row r="837" spans="10:11" hidden="1" x14ac:dyDescent="0.25">
      <c r="J837"/>
      <c r="K837"/>
    </row>
    <row r="838" spans="10:11" hidden="1" x14ac:dyDescent="0.25">
      <c r="J838"/>
      <c r="K838"/>
    </row>
    <row r="839" spans="10:11" hidden="1" x14ac:dyDescent="0.25">
      <c r="J839"/>
      <c r="K839"/>
    </row>
    <row r="840" spans="10:11" hidden="1" x14ac:dyDescent="0.25">
      <c r="J840"/>
      <c r="K840"/>
    </row>
    <row r="841" spans="10:11" hidden="1" x14ac:dyDescent="0.25">
      <c r="J841"/>
      <c r="K841"/>
    </row>
    <row r="842" spans="10:11" hidden="1" x14ac:dyDescent="0.25">
      <c r="J842"/>
      <c r="K842"/>
    </row>
    <row r="843" spans="10:11" hidden="1" x14ac:dyDescent="0.25">
      <c r="J843"/>
      <c r="K843"/>
    </row>
    <row r="844" spans="10:11" hidden="1" x14ac:dyDescent="0.25">
      <c r="J844"/>
      <c r="K844"/>
    </row>
    <row r="845" spans="10:11" hidden="1" x14ac:dyDescent="0.25">
      <c r="J845"/>
      <c r="K845"/>
    </row>
    <row r="846" spans="10:11" hidden="1" x14ac:dyDescent="0.25">
      <c r="J846"/>
      <c r="K846"/>
    </row>
    <row r="847" spans="10:11" hidden="1" x14ac:dyDescent="0.25">
      <c r="J847"/>
      <c r="K847"/>
    </row>
    <row r="848" spans="10:11" hidden="1" x14ac:dyDescent="0.25">
      <c r="J848"/>
      <c r="K848"/>
    </row>
    <row r="849" spans="10:11" hidden="1" x14ac:dyDescent="0.25">
      <c r="J849"/>
      <c r="K849"/>
    </row>
    <row r="850" spans="10:11" hidden="1" x14ac:dyDescent="0.25">
      <c r="J850"/>
      <c r="K850"/>
    </row>
    <row r="851" spans="10:11" hidden="1" x14ac:dyDescent="0.25">
      <c r="J851"/>
      <c r="K851"/>
    </row>
    <row r="852" spans="10:11" hidden="1" x14ac:dyDescent="0.25">
      <c r="J852"/>
      <c r="K852"/>
    </row>
    <row r="853" spans="10:11" hidden="1" x14ac:dyDescent="0.25">
      <c r="J853"/>
      <c r="K853"/>
    </row>
    <row r="854" spans="10:11" hidden="1" x14ac:dyDescent="0.25">
      <c r="J854"/>
      <c r="K854"/>
    </row>
    <row r="855" spans="10:11" hidden="1" x14ac:dyDescent="0.25">
      <c r="J855"/>
      <c r="K855"/>
    </row>
    <row r="856" spans="10:11" hidden="1" x14ac:dyDescent="0.25">
      <c r="J856"/>
      <c r="K856"/>
    </row>
    <row r="857" spans="10:11" hidden="1" x14ac:dyDescent="0.25">
      <c r="J857"/>
      <c r="K857"/>
    </row>
    <row r="858" spans="10:11" hidden="1" x14ac:dyDescent="0.25">
      <c r="J858"/>
      <c r="K858"/>
    </row>
    <row r="859" spans="10:11" hidden="1" x14ac:dyDescent="0.25">
      <c r="J859"/>
      <c r="K859"/>
    </row>
    <row r="860" spans="10:11" hidden="1" x14ac:dyDescent="0.25">
      <c r="J860"/>
      <c r="K860"/>
    </row>
    <row r="861" spans="10:11" hidden="1" x14ac:dyDescent="0.25">
      <c r="J861"/>
      <c r="K861"/>
    </row>
    <row r="862" spans="10:11" hidden="1" x14ac:dyDescent="0.25">
      <c r="J862"/>
      <c r="K862"/>
    </row>
    <row r="863" spans="10:11" hidden="1" x14ac:dyDescent="0.25">
      <c r="J863"/>
      <c r="K863"/>
    </row>
    <row r="864" spans="10:11" hidden="1" x14ac:dyDescent="0.25">
      <c r="J864"/>
      <c r="K864"/>
    </row>
    <row r="865" spans="10:11" hidden="1" x14ac:dyDescent="0.25">
      <c r="J865"/>
      <c r="K865"/>
    </row>
    <row r="866" spans="10:11" hidden="1" x14ac:dyDescent="0.25">
      <c r="J866"/>
      <c r="K866"/>
    </row>
    <row r="867" spans="10:11" hidden="1" x14ac:dyDescent="0.25">
      <c r="J867"/>
      <c r="K867"/>
    </row>
    <row r="868" spans="10:11" hidden="1" x14ac:dyDescent="0.25">
      <c r="J868"/>
      <c r="K868"/>
    </row>
    <row r="869" spans="10:11" hidden="1" x14ac:dyDescent="0.25">
      <c r="J869"/>
      <c r="K869"/>
    </row>
    <row r="870" spans="10:11" hidden="1" x14ac:dyDescent="0.25">
      <c r="J870"/>
      <c r="K870"/>
    </row>
    <row r="871" spans="10:11" hidden="1" x14ac:dyDescent="0.25">
      <c r="J871"/>
      <c r="K871"/>
    </row>
    <row r="872" spans="10:11" hidden="1" x14ac:dyDescent="0.25">
      <c r="J872"/>
      <c r="K872"/>
    </row>
    <row r="873" spans="10:11" hidden="1" x14ac:dyDescent="0.25">
      <c r="J873"/>
      <c r="K873"/>
    </row>
    <row r="874" spans="10:11" hidden="1" x14ac:dyDescent="0.25">
      <c r="J874"/>
      <c r="K874"/>
    </row>
    <row r="875" spans="10:11" hidden="1" x14ac:dyDescent="0.25">
      <c r="J875"/>
      <c r="K875"/>
    </row>
    <row r="876" spans="10:11" hidden="1" x14ac:dyDescent="0.25">
      <c r="J876"/>
      <c r="K876"/>
    </row>
    <row r="877" spans="10:11" hidden="1" x14ac:dyDescent="0.25">
      <c r="J877"/>
      <c r="K877"/>
    </row>
    <row r="878" spans="10:11" hidden="1" x14ac:dyDescent="0.25">
      <c r="J878"/>
      <c r="K878"/>
    </row>
    <row r="879" spans="10:11" hidden="1" x14ac:dyDescent="0.25">
      <c r="J879"/>
      <c r="K879"/>
    </row>
    <row r="880" spans="10:11" hidden="1" x14ac:dyDescent="0.25">
      <c r="J880"/>
      <c r="K880"/>
    </row>
    <row r="881" spans="10:11" hidden="1" x14ac:dyDescent="0.25">
      <c r="J881"/>
      <c r="K881"/>
    </row>
    <row r="882" spans="10:11" hidden="1" x14ac:dyDescent="0.25">
      <c r="J882"/>
      <c r="K882"/>
    </row>
    <row r="883" spans="10:11" hidden="1" x14ac:dyDescent="0.25">
      <c r="J883"/>
      <c r="K883"/>
    </row>
    <row r="884" spans="10:11" hidden="1" x14ac:dyDescent="0.25">
      <c r="J884"/>
      <c r="K884"/>
    </row>
    <row r="885" spans="10:11" hidden="1" x14ac:dyDescent="0.25">
      <c r="J885"/>
      <c r="K885"/>
    </row>
    <row r="886" spans="10:11" hidden="1" x14ac:dyDescent="0.25">
      <c r="J886"/>
      <c r="K886"/>
    </row>
    <row r="887" spans="10:11" hidden="1" x14ac:dyDescent="0.25">
      <c r="J887"/>
      <c r="K887"/>
    </row>
    <row r="888" spans="10:11" hidden="1" x14ac:dyDescent="0.25">
      <c r="J888"/>
      <c r="K888"/>
    </row>
    <row r="889" spans="10:11" hidden="1" x14ac:dyDescent="0.25">
      <c r="J889"/>
      <c r="K889"/>
    </row>
    <row r="890" spans="10:11" hidden="1" x14ac:dyDescent="0.25">
      <c r="J890"/>
      <c r="K890"/>
    </row>
    <row r="891" spans="10:11" hidden="1" x14ac:dyDescent="0.25">
      <c r="J891"/>
      <c r="K891"/>
    </row>
    <row r="892" spans="10:11" hidden="1" x14ac:dyDescent="0.25">
      <c r="J892"/>
      <c r="K892"/>
    </row>
    <row r="893" spans="10:11" hidden="1" x14ac:dyDescent="0.25">
      <c r="J893"/>
      <c r="K893"/>
    </row>
    <row r="894" spans="10:11" hidden="1" x14ac:dyDescent="0.25">
      <c r="J894"/>
      <c r="K894"/>
    </row>
    <row r="895" spans="10:11" hidden="1" x14ac:dyDescent="0.25">
      <c r="J895"/>
      <c r="K895"/>
    </row>
    <row r="896" spans="10:11" hidden="1" x14ac:dyDescent="0.25">
      <c r="J896"/>
      <c r="K896"/>
    </row>
    <row r="897" spans="10:11" hidden="1" x14ac:dyDescent="0.25">
      <c r="J897"/>
      <c r="K897"/>
    </row>
    <row r="898" spans="10:11" hidden="1" x14ac:dyDescent="0.25">
      <c r="J898"/>
      <c r="K898"/>
    </row>
    <row r="899" spans="10:11" hidden="1" x14ac:dyDescent="0.25">
      <c r="J899"/>
      <c r="K899"/>
    </row>
    <row r="900" spans="10:11" hidden="1" x14ac:dyDescent="0.25">
      <c r="J900"/>
      <c r="K900"/>
    </row>
    <row r="901" spans="10:11" hidden="1" x14ac:dyDescent="0.25">
      <c r="J901"/>
      <c r="K901"/>
    </row>
    <row r="902" spans="10:11" hidden="1" x14ac:dyDescent="0.25">
      <c r="J902"/>
      <c r="K902"/>
    </row>
    <row r="903" spans="10:11" hidden="1" x14ac:dyDescent="0.25">
      <c r="J903"/>
      <c r="K903"/>
    </row>
    <row r="904" spans="10:11" hidden="1" x14ac:dyDescent="0.25">
      <c r="J904"/>
      <c r="K904"/>
    </row>
    <row r="905" spans="10:11" hidden="1" x14ac:dyDescent="0.25">
      <c r="J905"/>
      <c r="K905"/>
    </row>
    <row r="906" spans="10:11" hidden="1" x14ac:dyDescent="0.25">
      <c r="J906"/>
      <c r="K906"/>
    </row>
    <row r="907" spans="10:11" hidden="1" x14ac:dyDescent="0.25">
      <c r="J907"/>
      <c r="K907"/>
    </row>
    <row r="908" spans="10:11" hidden="1" x14ac:dyDescent="0.25">
      <c r="J908"/>
      <c r="K908"/>
    </row>
    <row r="909" spans="10:11" hidden="1" x14ac:dyDescent="0.25">
      <c r="J909"/>
      <c r="K909"/>
    </row>
    <row r="910" spans="10:11" hidden="1" x14ac:dyDescent="0.25">
      <c r="J910"/>
      <c r="K910"/>
    </row>
    <row r="911" spans="10:11" hidden="1" x14ac:dyDescent="0.25">
      <c r="J911"/>
      <c r="K911"/>
    </row>
    <row r="912" spans="10:11" hidden="1" x14ac:dyDescent="0.25">
      <c r="J912"/>
      <c r="K912"/>
    </row>
    <row r="913" spans="10:11" hidden="1" x14ac:dyDescent="0.25">
      <c r="J913"/>
      <c r="K913"/>
    </row>
    <row r="914" spans="10:11" hidden="1" x14ac:dyDescent="0.25">
      <c r="J914"/>
      <c r="K914"/>
    </row>
    <row r="915" spans="10:11" hidden="1" x14ac:dyDescent="0.25">
      <c r="J915"/>
      <c r="K915"/>
    </row>
    <row r="916" spans="10:11" hidden="1" x14ac:dyDescent="0.25">
      <c r="J916"/>
      <c r="K916"/>
    </row>
    <row r="917" spans="10:11" hidden="1" x14ac:dyDescent="0.25">
      <c r="J917"/>
      <c r="K917"/>
    </row>
    <row r="918" spans="10:11" hidden="1" x14ac:dyDescent="0.25">
      <c r="J918"/>
      <c r="K918"/>
    </row>
    <row r="919" spans="10:11" hidden="1" x14ac:dyDescent="0.25">
      <c r="J919"/>
      <c r="K919"/>
    </row>
    <row r="920" spans="10:11" hidden="1" x14ac:dyDescent="0.25">
      <c r="J920"/>
      <c r="K920"/>
    </row>
    <row r="921" spans="10:11" hidden="1" x14ac:dyDescent="0.25">
      <c r="J921"/>
      <c r="K921"/>
    </row>
    <row r="922" spans="10:11" hidden="1" x14ac:dyDescent="0.25">
      <c r="J922"/>
      <c r="K922"/>
    </row>
    <row r="923" spans="10:11" hidden="1" x14ac:dyDescent="0.25">
      <c r="J923"/>
      <c r="K923"/>
    </row>
    <row r="924" spans="10:11" hidden="1" x14ac:dyDescent="0.25">
      <c r="J924"/>
      <c r="K924"/>
    </row>
    <row r="925" spans="10:11" hidden="1" x14ac:dyDescent="0.25">
      <c r="J925"/>
      <c r="K925"/>
    </row>
    <row r="926" spans="10:11" hidden="1" x14ac:dyDescent="0.25">
      <c r="J926"/>
      <c r="K926"/>
    </row>
    <row r="927" spans="10:11" hidden="1" x14ac:dyDescent="0.25">
      <c r="J927"/>
      <c r="K927"/>
    </row>
    <row r="928" spans="10:11" hidden="1" x14ac:dyDescent="0.25">
      <c r="J928"/>
      <c r="K928"/>
    </row>
    <row r="929" spans="10:11" hidden="1" x14ac:dyDescent="0.25">
      <c r="J929"/>
      <c r="K929"/>
    </row>
    <row r="930" spans="10:11" hidden="1" x14ac:dyDescent="0.25">
      <c r="J930"/>
      <c r="K930"/>
    </row>
    <row r="931" spans="10:11" hidden="1" x14ac:dyDescent="0.25">
      <c r="J931"/>
      <c r="K931"/>
    </row>
    <row r="932" spans="10:11" hidden="1" x14ac:dyDescent="0.25">
      <c r="J932"/>
      <c r="K932"/>
    </row>
    <row r="933" spans="10:11" hidden="1" x14ac:dyDescent="0.25">
      <c r="J933"/>
      <c r="K933"/>
    </row>
    <row r="934" spans="10:11" hidden="1" x14ac:dyDescent="0.25">
      <c r="J934"/>
      <c r="K934"/>
    </row>
    <row r="935" spans="10:11" hidden="1" x14ac:dyDescent="0.25">
      <c r="J935"/>
      <c r="K935"/>
    </row>
    <row r="936" spans="10:11" hidden="1" x14ac:dyDescent="0.25">
      <c r="J936"/>
      <c r="K936"/>
    </row>
    <row r="937" spans="10:11" hidden="1" x14ac:dyDescent="0.25">
      <c r="J937"/>
      <c r="K937"/>
    </row>
    <row r="938" spans="10:11" hidden="1" x14ac:dyDescent="0.25">
      <c r="J938"/>
      <c r="K938"/>
    </row>
    <row r="939" spans="10:11" hidden="1" x14ac:dyDescent="0.25">
      <c r="J939"/>
      <c r="K939"/>
    </row>
    <row r="940" spans="10:11" hidden="1" x14ac:dyDescent="0.25">
      <c r="J940"/>
      <c r="K940"/>
    </row>
    <row r="941" spans="10:11" hidden="1" x14ac:dyDescent="0.25">
      <c r="J941"/>
      <c r="K941"/>
    </row>
    <row r="942" spans="10:11" hidden="1" x14ac:dyDescent="0.25">
      <c r="J942"/>
      <c r="K942"/>
    </row>
    <row r="943" spans="10:11" hidden="1" x14ac:dyDescent="0.25">
      <c r="J943"/>
      <c r="K943"/>
    </row>
    <row r="944" spans="10:11" hidden="1" x14ac:dyDescent="0.25">
      <c r="J944"/>
      <c r="K944"/>
    </row>
    <row r="945" spans="10:11" hidden="1" x14ac:dyDescent="0.25">
      <c r="J945"/>
      <c r="K945"/>
    </row>
    <row r="946" spans="10:11" hidden="1" x14ac:dyDescent="0.25">
      <c r="J946"/>
      <c r="K946"/>
    </row>
    <row r="947" spans="10:11" hidden="1" x14ac:dyDescent="0.25">
      <c r="J947"/>
      <c r="K947"/>
    </row>
    <row r="948" spans="10:11" hidden="1" x14ac:dyDescent="0.25">
      <c r="J948"/>
      <c r="K948"/>
    </row>
    <row r="949" spans="10:11" hidden="1" x14ac:dyDescent="0.25">
      <c r="J949"/>
      <c r="K949"/>
    </row>
    <row r="950" spans="10:11" hidden="1" x14ac:dyDescent="0.25">
      <c r="J950"/>
      <c r="K950"/>
    </row>
    <row r="951" spans="10:11" hidden="1" x14ac:dyDescent="0.25">
      <c r="J951"/>
      <c r="K951"/>
    </row>
    <row r="952" spans="10:11" hidden="1" x14ac:dyDescent="0.25">
      <c r="J952"/>
      <c r="K952"/>
    </row>
    <row r="953" spans="10:11" hidden="1" x14ac:dyDescent="0.25">
      <c r="J953"/>
      <c r="K953"/>
    </row>
    <row r="954" spans="10:11" hidden="1" x14ac:dyDescent="0.25">
      <c r="J954"/>
      <c r="K954"/>
    </row>
    <row r="955" spans="10:11" hidden="1" x14ac:dyDescent="0.25">
      <c r="J955"/>
      <c r="K955"/>
    </row>
    <row r="956" spans="10:11" hidden="1" x14ac:dyDescent="0.25">
      <c r="J956"/>
      <c r="K956"/>
    </row>
    <row r="957" spans="10:11" hidden="1" x14ac:dyDescent="0.25">
      <c r="J957"/>
      <c r="K957"/>
    </row>
    <row r="958" spans="10:11" hidden="1" x14ac:dyDescent="0.25">
      <c r="J958"/>
      <c r="K958"/>
    </row>
    <row r="959" spans="10:11" hidden="1" x14ac:dyDescent="0.25">
      <c r="J959"/>
      <c r="K959"/>
    </row>
    <row r="960" spans="10:11" hidden="1" x14ac:dyDescent="0.25">
      <c r="J960"/>
      <c r="K960"/>
    </row>
    <row r="961" spans="10:11" hidden="1" x14ac:dyDescent="0.25">
      <c r="J961"/>
      <c r="K961"/>
    </row>
    <row r="962" spans="10:11" hidden="1" x14ac:dyDescent="0.25">
      <c r="J962"/>
      <c r="K962"/>
    </row>
    <row r="963" spans="10:11" hidden="1" x14ac:dyDescent="0.25">
      <c r="J963"/>
      <c r="K963"/>
    </row>
    <row r="964" spans="10:11" hidden="1" x14ac:dyDescent="0.25">
      <c r="J964"/>
      <c r="K964"/>
    </row>
    <row r="965" spans="10:11" hidden="1" x14ac:dyDescent="0.25">
      <c r="J965"/>
      <c r="K965"/>
    </row>
    <row r="966" spans="10:11" hidden="1" x14ac:dyDescent="0.25">
      <c r="J966"/>
      <c r="K966"/>
    </row>
    <row r="967" spans="10:11" hidden="1" x14ac:dyDescent="0.25">
      <c r="J967"/>
      <c r="K967"/>
    </row>
    <row r="968" spans="10:11" hidden="1" x14ac:dyDescent="0.25">
      <c r="J968"/>
      <c r="K968"/>
    </row>
    <row r="969" spans="10:11" hidden="1" x14ac:dyDescent="0.25">
      <c r="J969"/>
      <c r="K969"/>
    </row>
    <row r="970" spans="10:11" hidden="1" x14ac:dyDescent="0.25">
      <c r="J970"/>
      <c r="K970"/>
    </row>
    <row r="971" spans="10:11" hidden="1" x14ac:dyDescent="0.25">
      <c r="J971"/>
      <c r="K971"/>
    </row>
    <row r="972" spans="10:11" hidden="1" x14ac:dyDescent="0.25">
      <c r="J972"/>
      <c r="K972"/>
    </row>
    <row r="973" spans="10:11" hidden="1" x14ac:dyDescent="0.25">
      <c r="J973"/>
      <c r="K973"/>
    </row>
    <row r="974" spans="10:11" hidden="1" x14ac:dyDescent="0.25">
      <c r="J974"/>
      <c r="K974"/>
    </row>
    <row r="975" spans="10:11" hidden="1" x14ac:dyDescent="0.25">
      <c r="J975"/>
      <c r="K975"/>
    </row>
    <row r="976" spans="10:11" hidden="1" x14ac:dyDescent="0.25">
      <c r="J976"/>
      <c r="K976"/>
    </row>
    <row r="977" spans="10:11" hidden="1" x14ac:dyDescent="0.25">
      <c r="J977"/>
      <c r="K977"/>
    </row>
    <row r="978" spans="10:11" hidden="1" x14ac:dyDescent="0.25">
      <c r="J978"/>
      <c r="K978"/>
    </row>
    <row r="979" spans="10:11" hidden="1" x14ac:dyDescent="0.25">
      <c r="J979"/>
      <c r="K979"/>
    </row>
    <row r="980" spans="10:11" hidden="1" x14ac:dyDescent="0.25">
      <c r="J980"/>
      <c r="K980"/>
    </row>
    <row r="981" spans="10:11" hidden="1" x14ac:dyDescent="0.25">
      <c r="J981"/>
      <c r="K981"/>
    </row>
    <row r="982" spans="10:11" hidden="1" x14ac:dyDescent="0.25">
      <c r="J982"/>
      <c r="K982"/>
    </row>
    <row r="983" spans="10:11" hidden="1" x14ac:dyDescent="0.25">
      <c r="J983"/>
      <c r="K983"/>
    </row>
    <row r="984" spans="10:11" hidden="1" x14ac:dyDescent="0.25">
      <c r="J984"/>
      <c r="K984"/>
    </row>
    <row r="985" spans="10:11" hidden="1" x14ac:dyDescent="0.25">
      <c r="J985"/>
      <c r="K985"/>
    </row>
    <row r="986" spans="10:11" hidden="1" x14ac:dyDescent="0.25">
      <c r="J986"/>
      <c r="K986"/>
    </row>
    <row r="987" spans="10:11" hidden="1" x14ac:dyDescent="0.25">
      <c r="J987"/>
      <c r="K987"/>
    </row>
    <row r="988" spans="10:11" hidden="1" x14ac:dyDescent="0.25">
      <c r="J988"/>
      <c r="K988"/>
    </row>
    <row r="989" spans="10:11" hidden="1" x14ac:dyDescent="0.25">
      <c r="J989"/>
      <c r="K989"/>
    </row>
    <row r="990" spans="10:11" hidden="1" x14ac:dyDescent="0.25">
      <c r="J990"/>
      <c r="K990"/>
    </row>
    <row r="991" spans="10:11" hidden="1" x14ac:dyDescent="0.25">
      <c r="J991"/>
      <c r="K991"/>
    </row>
    <row r="992" spans="10:11" hidden="1" x14ac:dyDescent="0.25">
      <c r="J992"/>
      <c r="K992"/>
    </row>
    <row r="993" spans="10:11" hidden="1" x14ac:dyDescent="0.25">
      <c r="J993"/>
      <c r="K993"/>
    </row>
    <row r="994" spans="10:11" hidden="1" x14ac:dyDescent="0.25">
      <c r="J994"/>
      <c r="K994"/>
    </row>
    <row r="995" spans="10:11" hidden="1" x14ac:dyDescent="0.25">
      <c r="J995"/>
      <c r="K995"/>
    </row>
    <row r="996" spans="10:11" hidden="1" x14ac:dyDescent="0.25">
      <c r="J996"/>
      <c r="K996"/>
    </row>
    <row r="997" spans="10:11" hidden="1" x14ac:dyDescent="0.25">
      <c r="J997"/>
      <c r="K997"/>
    </row>
    <row r="998" spans="10:11" hidden="1" x14ac:dyDescent="0.25">
      <c r="J998"/>
      <c r="K998"/>
    </row>
    <row r="999" spans="10:11" hidden="1" x14ac:dyDescent="0.25">
      <c r="J999"/>
      <c r="K999"/>
    </row>
    <row r="1000" spans="10:11" hidden="1" x14ac:dyDescent="0.25">
      <c r="J1000"/>
      <c r="K1000"/>
    </row>
    <row r="1001" spans="10:11" hidden="1" x14ac:dyDescent="0.25">
      <c r="J1001"/>
      <c r="K1001"/>
    </row>
    <row r="1002" spans="10:11" hidden="1" x14ac:dyDescent="0.25">
      <c r="J1002"/>
      <c r="K1002"/>
    </row>
    <row r="1003" spans="10:11" hidden="1" x14ac:dyDescent="0.25">
      <c r="J1003"/>
      <c r="K1003"/>
    </row>
    <row r="1004" spans="10:11" hidden="1" x14ac:dyDescent="0.25">
      <c r="J1004"/>
      <c r="K1004"/>
    </row>
    <row r="1005" spans="10:11" hidden="1" x14ac:dyDescent="0.25">
      <c r="J1005"/>
      <c r="K1005"/>
    </row>
    <row r="1006" spans="10:11" hidden="1" x14ac:dyDescent="0.25">
      <c r="J1006"/>
      <c r="K1006"/>
    </row>
    <row r="1007" spans="10:11" hidden="1" x14ac:dyDescent="0.25">
      <c r="J1007"/>
      <c r="K1007"/>
    </row>
    <row r="1008" spans="10:11" hidden="1" x14ac:dyDescent="0.25">
      <c r="J1008"/>
      <c r="K1008"/>
    </row>
    <row r="1009" spans="10:11" hidden="1" x14ac:dyDescent="0.25">
      <c r="J1009"/>
      <c r="K1009"/>
    </row>
    <row r="1010" spans="10:11" hidden="1" x14ac:dyDescent="0.25">
      <c r="J1010"/>
      <c r="K1010"/>
    </row>
    <row r="1011" spans="10:11" hidden="1" x14ac:dyDescent="0.25">
      <c r="J1011"/>
      <c r="K1011"/>
    </row>
    <row r="1012" spans="10:11" hidden="1" x14ac:dyDescent="0.25">
      <c r="J1012"/>
    </row>
    <row r="1013" spans="10:11" hidden="1" x14ac:dyDescent="0.25">
      <c r="J1013"/>
    </row>
    <row r="1014" spans="10:11" hidden="1" x14ac:dyDescent="0.25">
      <c r="J1014"/>
    </row>
    <row r="1015" spans="10:11" hidden="1" x14ac:dyDescent="0.25">
      <c r="J1015"/>
    </row>
    <row r="1016" spans="10:11" hidden="1" x14ac:dyDescent="0.25">
      <c r="J1016"/>
    </row>
    <row r="1017" spans="10:11" hidden="1" x14ac:dyDescent="0.25">
      <c r="J1017"/>
    </row>
    <row r="1018" spans="10:11" hidden="1" x14ac:dyDescent="0.25">
      <c r="J1018"/>
    </row>
    <row r="1019" spans="10:11" hidden="1" x14ac:dyDescent="0.25">
      <c r="J1019"/>
    </row>
    <row r="1020" spans="10:11" hidden="1" x14ac:dyDescent="0.25">
      <c r="J1020"/>
    </row>
    <row r="1021" spans="10:11" hidden="1" x14ac:dyDescent="0.25">
      <c r="J1021"/>
    </row>
    <row r="1022" spans="10:11" hidden="1" x14ac:dyDescent="0.25">
      <c r="J1022"/>
    </row>
    <row r="1023" spans="10:11" hidden="1" x14ac:dyDescent="0.25">
      <c r="J1023"/>
    </row>
    <row r="1024" spans="10:11" hidden="1" x14ac:dyDescent="0.25">
      <c r="J1024"/>
    </row>
    <row r="1025" spans="10:10" hidden="1" x14ac:dyDescent="0.25">
      <c r="J1025"/>
    </row>
    <row r="1026" spans="10:10" hidden="1" x14ac:dyDescent="0.25">
      <c r="J1026"/>
    </row>
    <row r="1027" spans="10:10" hidden="1" x14ac:dyDescent="0.25">
      <c r="J1027"/>
    </row>
    <row r="1028" spans="10:10" hidden="1" x14ac:dyDescent="0.25">
      <c r="J1028"/>
    </row>
    <row r="1029" spans="10:10" hidden="1" x14ac:dyDescent="0.25">
      <c r="J1029"/>
    </row>
    <row r="1030" spans="10:10" hidden="1" x14ac:dyDescent="0.25">
      <c r="J1030"/>
    </row>
    <row r="1031" spans="10:10" hidden="1" x14ac:dyDescent="0.25">
      <c r="J1031"/>
    </row>
    <row r="1032" spans="10:10" hidden="1" x14ac:dyDescent="0.25">
      <c r="J1032"/>
    </row>
    <row r="1033" spans="10:10" hidden="1" x14ac:dyDescent="0.25">
      <c r="J1033"/>
    </row>
    <row r="1034" spans="10:10" hidden="1" x14ac:dyDescent="0.25">
      <c r="J1034"/>
    </row>
    <row r="1035" spans="10:10" hidden="1" x14ac:dyDescent="0.25">
      <c r="J1035"/>
    </row>
    <row r="1036" spans="10:10" hidden="1" x14ac:dyDescent="0.25">
      <c r="J1036"/>
    </row>
    <row r="1037" spans="10:10" hidden="1" x14ac:dyDescent="0.25">
      <c r="J1037"/>
    </row>
    <row r="1038" spans="10:10" hidden="1" x14ac:dyDescent="0.25">
      <c r="J1038"/>
    </row>
    <row r="1039" spans="10:10" hidden="1" x14ac:dyDescent="0.25">
      <c r="J1039"/>
    </row>
    <row r="1040" spans="10:10" hidden="1" x14ac:dyDescent="0.25">
      <c r="J1040"/>
    </row>
    <row r="1041" spans="10:10" hidden="1" x14ac:dyDescent="0.25">
      <c r="J1041"/>
    </row>
    <row r="1042" spans="10:10" hidden="1" x14ac:dyDescent="0.25">
      <c r="J1042"/>
    </row>
    <row r="1043" spans="10:10" hidden="1" x14ac:dyDescent="0.25">
      <c r="J1043"/>
    </row>
    <row r="1044" spans="10:10" hidden="1" x14ac:dyDescent="0.25">
      <c r="J1044"/>
    </row>
    <row r="1045" spans="10:10" hidden="1" x14ac:dyDescent="0.25">
      <c r="J1045"/>
    </row>
    <row r="1046" spans="10:10" hidden="1" x14ac:dyDescent="0.25">
      <c r="J1046"/>
    </row>
    <row r="1047" spans="10:10" hidden="1" x14ac:dyDescent="0.25">
      <c r="J1047"/>
    </row>
    <row r="1048" spans="10:10" hidden="1" x14ac:dyDescent="0.25">
      <c r="J1048"/>
    </row>
    <row r="1049" spans="10:10" hidden="1" x14ac:dyDescent="0.25">
      <c r="J1049"/>
    </row>
    <row r="1050" spans="10:10" hidden="1" x14ac:dyDescent="0.25">
      <c r="J1050"/>
    </row>
    <row r="1051" spans="10:10" hidden="1" x14ac:dyDescent="0.25">
      <c r="J1051"/>
    </row>
    <row r="1052" spans="10:10" hidden="1" x14ac:dyDescent="0.25">
      <c r="J1052"/>
    </row>
    <row r="1053" spans="10:10" hidden="1" x14ac:dyDescent="0.25">
      <c r="J1053"/>
    </row>
    <row r="1054" spans="10:10" hidden="1" x14ac:dyDescent="0.25">
      <c r="J1054"/>
    </row>
    <row r="1055" spans="10:10" hidden="1" x14ac:dyDescent="0.25">
      <c r="J1055"/>
    </row>
    <row r="1056" spans="10:10" hidden="1" x14ac:dyDescent="0.25">
      <c r="J1056"/>
    </row>
    <row r="1057" spans="10:10" hidden="1" x14ac:dyDescent="0.25">
      <c r="J1057"/>
    </row>
    <row r="1058" spans="10:10" hidden="1" x14ac:dyDescent="0.25">
      <c r="J1058"/>
    </row>
    <row r="1059" spans="10:10" hidden="1" x14ac:dyDescent="0.25">
      <c r="J1059"/>
    </row>
    <row r="1060" spans="10:10" hidden="1" x14ac:dyDescent="0.25">
      <c r="J1060"/>
    </row>
    <row r="1061" spans="10:10" hidden="1" x14ac:dyDescent="0.25">
      <c r="J1061"/>
    </row>
    <row r="1062" spans="10:10" hidden="1" x14ac:dyDescent="0.25">
      <c r="J1062"/>
    </row>
    <row r="1063" spans="10:10" hidden="1" x14ac:dyDescent="0.25">
      <c r="J1063"/>
    </row>
    <row r="1064" spans="10:10" hidden="1" x14ac:dyDescent="0.25">
      <c r="J1064"/>
    </row>
    <row r="1065" spans="10:10" hidden="1" x14ac:dyDescent="0.25">
      <c r="J1065"/>
    </row>
    <row r="1066" spans="10:10" hidden="1" x14ac:dyDescent="0.25">
      <c r="J1066"/>
    </row>
    <row r="1067" spans="10:10" hidden="1" x14ac:dyDescent="0.25">
      <c r="J1067"/>
    </row>
    <row r="1068" spans="10:10" hidden="1" x14ac:dyDescent="0.25">
      <c r="J1068"/>
    </row>
    <row r="1069" spans="10:10" hidden="1" x14ac:dyDescent="0.25">
      <c r="J1069"/>
    </row>
    <row r="1070" spans="10:10" hidden="1" x14ac:dyDescent="0.25">
      <c r="J1070"/>
    </row>
    <row r="1071" spans="10:10" hidden="1" x14ac:dyDescent="0.25">
      <c r="J1071"/>
    </row>
    <row r="1072" spans="10:10" hidden="1" x14ac:dyDescent="0.25">
      <c r="J1072"/>
    </row>
    <row r="1073" spans="10:10" hidden="1" x14ac:dyDescent="0.25">
      <c r="J1073"/>
    </row>
    <row r="1074" spans="10:10" hidden="1" x14ac:dyDescent="0.25">
      <c r="J1074"/>
    </row>
    <row r="1075" spans="10:10" hidden="1" x14ac:dyDescent="0.25">
      <c r="J1075"/>
    </row>
    <row r="1076" spans="10:10" hidden="1" x14ac:dyDescent="0.25">
      <c r="J1076"/>
    </row>
    <row r="1077" spans="10:10" hidden="1" x14ac:dyDescent="0.25">
      <c r="J1077"/>
    </row>
    <row r="1078" spans="10:10" hidden="1" x14ac:dyDescent="0.25">
      <c r="J1078"/>
    </row>
    <row r="1079" spans="10:10" hidden="1" x14ac:dyDescent="0.25">
      <c r="J1079"/>
    </row>
    <row r="1080" spans="10:10" hidden="1" x14ac:dyDescent="0.25">
      <c r="J1080"/>
    </row>
    <row r="1081" spans="10:10" hidden="1" x14ac:dyDescent="0.25">
      <c r="J1081"/>
    </row>
    <row r="1082" spans="10:10" hidden="1" x14ac:dyDescent="0.25">
      <c r="J1082"/>
    </row>
    <row r="1083" spans="10:10" hidden="1" x14ac:dyDescent="0.25">
      <c r="J1083"/>
    </row>
    <row r="1084" spans="10:10" hidden="1" x14ac:dyDescent="0.25">
      <c r="J1084"/>
    </row>
    <row r="1085" spans="10:10" hidden="1" x14ac:dyDescent="0.25">
      <c r="J1085"/>
    </row>
    <row r="1086" spans="10:10" hidden="1" x14ac:dyDescent="0.25">
      <c r="J1086"/>
    </row>
    <row r="1087" spans="10:10" hidden="1" x14ac:dyDescent="0.25">
      <c r="J1087"/>
    </row>
    <row r="1088" spans="10:10" hidden="1" x14ac:dyDescent="0.25">
      <c r="J1088"/>
    </row>
    <row r="1089" spans="10:10" hidden="1" x14ac:dyDescent="0.25">
      <c r="J1089"/>
    </row>
    <row r="1090" spans="10:10" hidden="1" x14ac:dyDescent="0.25">
      <c r="J1090"/>
    </row>
    <row r="1091" spans="10:10" hidden="1" x14ac:dyDescent="0.25">
      <c r="J1091"/>
    </row>
    <row r="1092" spans="10:10" hidden="1" x14ac:dyDescent="0.25">
      <c r="J1092"/>
    </row>
    <row r="1093" spans="10:10" hidden="1" x14ac:dyDescent="0.25">
      <c r="J1093"/>
    </row>
    <row r="1094" spans="10:10" hidden="1" x14ac:dyDescent="0.25">
      <c r="J1094"/>
    </row>
    <row r="1095" spans="10:10" hidden="1" x14ac:dyDescent="0.25">
      <c r="J1095"/>
    </row>
    <row r="1096" spans="10:10" hidden="1" x14ac:dyDescent="0.25">
      <c r="J1096"/>
    </row>
    <row r="1097" spans="10:10" hidden="1" x14ac:dyDescent="0.25">
      <c r="J1097"/>
    </row>
    <row r="1098" spans="10:10" hidden="1" x14ac:dyDescent="0.25">
      <c r="J1098"/>
    </row>
    <row r="1099" spans="10:10" hidden="1" x14ac:dyDescent="0.25">
      <c r="J1099"/>
    </row>
    <row r="1100" spans="10:10" hidden="1" x14ac:dyDescent="0.25">
      <c r="J1100"/>
    </row>
    <row r="1101" spans="10:10" hidden="1" x14ac:dyDescent="0.25">
      <c r="J1101"/>
    </row>
    <row r="1102" spans="10:10" hidden="1" x14ac:dyDescent="0.25">
      <c r="J1102"/>
    </row>
    <row r="1103" spans="10:10" hidden="1" x14ac:dyDescent="0.25">
      <c r="J1103"/>
    </row>
    <row r="1104" spans="10:10" hidden="1" x14ac:dyDescent="0.25">
      <c r="J1104"/>
    </row>
    <row r="1105" spans="10:10" hidden="1" x14ac:dyDescent="0.25">
      <c r="J1105"/>
    </row>
    <row r="1106" spans="10:10" hidden="1" x14ac:dyDescent="0.25">
      <c r="J1106"/>
    </row>
    <row r="1107" spans="10:10" hidden="1" x14ac:dyDescent="0.25">
      <c r="J1107"/>
    </row>
    <row r="1108" spans="10:10" hidden="1" x14ac:dyDescent="0.25">
      <c r="J1108"/>
    </row>
    <row r="1109" spans="10:10" hidden="1" x14ac:dyDescent="0.25">
      <c r="J1109"/>
    </row>
    <row r="1110" spans="10:10" hidden="1" x14ac:dyDescent="0.25">
      <c r="J1110"/>
    </row>
    <row r="1111" spans="10:10" hidden="1" x14ac:dyDescent="0.25">
      <c r="J1111"/>
    </row>
    <row r="1112" spans="10:10" hidden="1" x14ac:dyDescent="0.25">
      <c r="J1112"/>
    </row>
    <row r="1113" spans="10:10" hidden="1" x14ac:dyDescent="0.25">
      <c r="J1113"/>
    </row>
    <row r="1114" spans="10:10" hidden="1" x14ac:dyDescent="0.25">
      <c r="J1114"/>
    </row>
    <row r="1115" spans="10:10" hidden="1" x14ac:dyDescent="0.25">
      <c r="J1115"/>
    </row>
    <row r="1116" spans="10:10" hidden="1" x14ac:dyDescent="0.25">
      <c r="J1116"/>
    </row>
    <row r="1117" spans="10:10" hidden="1" x14ac:dyDescent="0.25">
      <c r="J1117"/>
    </row>
    <row r="1118" spans="10:10" hidden="1" x14ac:dyDescent="0.25">
      <c r="J1118"/>
    </row>
    <row r="1119" spans="10:10" hidden="1" x14ac:dyDescent="0.25">
      <c r="J1119"/>
    </row>
    <row r="1120" spans="10:10" hidden="1" x14ac:dyDescent="0.25">
      <c r="J1120"/>
    </row>
    <row r="1121" spans="10:10" hidden="1" x14ac:dyDescent="0.25">
      <c r="J1121"/>
    </row>
    <row r="1122" spans="10:10" hidden="1" x14ac:dyDescent="0.25">
      <c r="J1122"/>
    </row>
    <row r="1123" spans="10:10" hidden="1" x14ac:dyDescent="0.25">
      <c r="J1123"/>
    </row>
    <row r="1124" spans="10:10" hidden="1" x14ac:dyDescent="0.25">
      <c r="J1124"/>
    </row>
    <row r="1125" spans="10:10" hidden="1" x14ac:dyDescent="0.25">
      <c r="J1125"/>
    </row>
    <row r="1126" spans="10:10" hidden="1" x14ac:dyDescent="0.25">
      <c r="J1126"/>
    </row>
    <row r="1127" spans="10:10" hidden="1" x14ac:dyDescent="0.25">
      <c r="J1127"/>
    </row>
    <row r="1128" spans="10:10" hidden="1" x14ac:dyDescent="0.25">
      <c r="J1128"/>
    </row>
    <row r="1129" spans="10:10" hidden="1" x14ac:dyDescent="0.25">
      <c r="J1129"/>
    </row>
    <row r="1130" spans="10:10" hidden="1" x14ac:dyDescent="0.25">
      <c r="J1130"/>
    </row>
    <row r="1131" spans="10:10" hidden="1" x14ac:dyDescent="0.25">
      <c r="J1131"/>
    </row>
    <row r="1132" spans="10:10" hidden="1" x14ac:dyDescent="0.25">
      <c r="J1132"/>
    </row>
    <row r="1133" spans="10:10" hidden="1" x14ac:dyDescent="0.25">
      <c r="J1133"/>
    </row>
    <row r="1134" spans="10:10" hidden="1" x14ac:dyDescent="0.25">
      <c r="J1134"/>
    </row>
    <row r="1135" spans="10:10" hidden="1" x14ac:dyDescent="0.25">
      <c r="J1135"/>
    </row>
    <row r="1136" spans="10:10" hidden="1" x14ac:dyDescent="0.25">
      <c r="J1136"/>
    </row>
    <row r="1137" spans="10:10" hidden="1" x14ac:dyDescent="0.25">
      <c r="J1137"/>
    </row>
    <row r="1138" spans="10:10" hidden="1" x14ac:dyDescent="0.25">
      <c r="J1138"/>
    </row>
    <row r="1139" spans="10:10" hidden="1" x14ac:dyDescent="0.25">
      <c r="J1139"/>
    </row>
    <row r="1140" spans="10:10" hidden="1" x14ac:dyDescent="0.25">
      <c r="J1140"/>
    </row>
    <row r="1141" spans="10:10" hidden="1" x14ac:dyDescent="0.25">
      <c r="J1141"/>
    </row>
    <row r="1142" spans="10:10" hidden="1" x14ac:dyDescent="0.25">
      <c r="J1142"/>
    </row>
    <row r="1143" spans="10:10" hidden="1" x14ac:dyDescent="0.25">
      <c r="J1143"/>
    </row>
    <row r="1144" spans="10:10" hidden="1" x14ac:dyDescent="0.25">
      <c r="J1144"/>
    </row>
    <row r="1145" spans="10:10" hidden="1" x14ac:dyDescent="0.25">
      <c r="J1145"/>
    </row>
    <row r="1146" spans="10:10" hidden="1" x14ac:dyDescent="0.25">
      <c r="J1146"/>
    </row>
    <row r="1147" spans="10:10" hidden="1" x14ac:dyDescent="0.25">
      <c r="J1147"/>
    </row>
    <row r="1148" spans="10:10" hidden="1" x14ac:dyDescent="0.25">
      <c r="J1148"/>
    </row>
    <row r="1149" spans="10:10" hidden="1" x14ac:dyDescent="0.25">
      <c r="J1149"/>
    </row>
    <row r="1150" spans="10:10" hidden="1" x14ac:dyDescent="0.25">
      <c r="J1150"/>
    </row>
    <row r="1151" spans="10:10" hidden="1" x14ac:dyDescent="0.25">
      <c r="J1151"/>
    </row>
    <row r="1152" spans="10:10" hidden="1" x14ac:dyDescent="0.25">
      <c r="J1152"/>
    </row>
    <row r="1153" spans="10:10" hidden="1" x14ac:dyDescent="0.25">
      <c r="J1153"/>
    </row>
    <row r="1154" spans="10:10" hidden="1" x14ac:dyDescent="0.25">
      <c r="J1154"/>
    </row>
    <row r="1155" spans="10:10" hidden="1" x14ac:dyDescent="0.25">
      <c r="J1155"/>
    </row>
    <row r="1156" spans="10:10" hidden="1" x14ac:dyDescent="0.25">
      <c r="J1156"/>
    </row>
    <row r="1157" spans="10:10" hidden="1" x14ac:dyDescent="0.25">
      <c r="J1157"/>
    </row>
    <row r="1158" spans="10:10" hidden="1" x14ac:dyDescent="0.25">
      <c r="J1158"/>
    </row>
    <row r="1159" spans="10:10" hidden="1" x14ac:dyDescent="0.25">
      <c r="J1159"/>
    </row>
    <row r="1160" spans="10:10" hidden="1" x14ac:dyDescent="0.25">
      <c r="J1160"/>
    </row>
    <row r="1161" spans="10:10" hidden="1" x14ac:dyDescent="0.25">
      <c r="J1161"/>
    </row>
    <row r="1162" spans="10:10" hidden="1" x14ac:dyDescent="0.25">
      <c r="J1162"/>
    </row>
    <row r="1163" spans="10:10" hidden="1" x14ac:dyDescent="0.25">
      <c r="J1163"/>
    </row>
    <row r="1164" spans="10:10" hidden="1" x14ac:dyDescent="0.25">
      <c r="J1164"/>
    </row>
    <row r="1165" spans="10:10" hidden="1" x14ac:dyDescent="0.25">
      <c r="J1165"/>
    </row>
    <row r="1166" spans="10:10" hidden="1" x14ac:dyDescent="0.25">
      <c r="J1166"/>
    </row>
    <row r="1167" spans="10:10" hidden="1" x14ac:dyDescent="0.25">
      <c r="J1167"/>
    </row>
    <row r="1168" spans="10:10" hidden="1" x14ac:dyDescent="0.25">
      <c r="J1168"/>
    </row>
    <row r="1169" spans="10:10" hidden="1" x14ac:dyDescent="0.25">
      <c r="J1169"/>
    </row>
    <row r="1170" spans="10:10" hidden="1" x14ac:dyDescent="0.25">
      <c r="J1170"/>
    </row>
    <row r="1171" spans="10:10" hidden="1" x14ac:dyDescent="0.25">
      <c r="J1171"/>
    </row>
    <row r="1172" spans="10:10" hidden="1" x14ac:dyDescent="0.25">
      <c r="J1172"/>
    </row>
    <row r="1173" spans="10:10" hidden="1" x14ac:dyDescent="0.25">
      <c r="J1173"/>
    </row>
    <row r="1174" spans="10:10" hidden="1" x14ac:dyDescent="0.25">
      <c r="J1174"/>
    </row>
    <row r="1175" spans="10:10" hidden="1" x14ac:dyDescent="0.25">
      <c r="J1175"/>
    </row>
    <row r="1176" spans="10:10" hidden="1" x14ac:dyDescent="0.25">
      <c r="J1176"/>
    </row>
    <row r="1177" spans="10:10" hidden="1" x14ac:dyDescent="0.25">
      <c r="J1177"/>
    </row>
    <row r="1178" spans="10:10" hidden="1" x14ac:dyDescent="0.25">
      <c r="J1178"/>
    </row>
    <row r="1179" spans="10:10" hidden="1" x14ac:dyDescent="0.25">
      <c r="J1179"/>
    </row>
    <row r="1180" spans="10:10" hidden="1" x14ac:dyDescent="0.25">
      <c r="J1180"/>
    </row>
    <row r="1181" spans="10:10" hidden="1" x14ac:dyDescent="0.25">
      <c r="J1181"/>
    </row>
    <row r="1182" spans="10:10" hidden="1" x14ac:dyDescent="0.25">
      <c r="J1182"/>
    </row>
    <row r="1183" spans="10:10" hidden="1" x14ac:dyDescent="0.25">
      <c r="J1183"/>
    </row>
    <row r="1184" spans="10:10" hidden="1" x14ac:dyDescent="0.25">
      <c r="J1184"/>
    </row>
    <row r="1185" spans="10:10" hidden="1" x14ac:dyDescent="0.25">
      <c r="J1185"/>
    </row>
    <row r="1186" spans="10:10" hidden="1" x14ac:dyDescent="0.25">
      <c r="J1186"/>
    </row>
    <row r="1187" spans="10:10" hidden="1" x14ac:dyDescent="0.25">
      <c r="J1187"/>
    </row>
    <row r="1188" spans="10:10" hidden="1" x14ac:dyDescent="0.25">
      <c r="J1188"/>
    </row>
    <row r="1189" spans="10:10" hidden="1" x14ac:dyDescent="0.25">
      <c r="J1189"/>
    </row>
    <row r="1190" spans="10:10" hidden="1" x14ac:dyDescent="0.25">
      <c r="J1190"/>
    </row>
    <row r="1191" spans="10:10" hidden="1" x14ac:dyDescent="0.25">
      <c r="J1191"/>
    </row>
    <row r="1192" spans="10:10" hidden="1" x14ac:dyDescent="0.25">
      <c r="J1192"/>
    </row>
    <row r="1193" spans="10:10" hidden="1" x14ac:dyDescent="0.25">
      <c r="J1193"/>
    </row>
    <row r="1194" spans="10:10" hidden="1" x14ac:dyDescent="0.25">
      <c r="J1194"/>
    </row>
    <row r="1195" spans="10:10" hidden="1" x14ac:dyDescent="0.25">
      <c r="J1195"/>
    </row>
    <row r="1196" spans="10:10" hidden="1" x14ac:dyDescent="0.25">
      <c r="J1196"/>
    </row>
    <row r="1197" spans="10:10" hidden="1" x14ac:dyDescent="0.25">
      <c r="J1197"/>
    </row>
    <row r="1198" spans="10:10" hidden="1" x14ac:dyDescent="0.25">
      <c r="J1198"/>
    </row>
    <row r="1199" spans="10:10" hidden="1" x14ac:dyDescent="0.25">
      <c r="J1199"/>
    </row>
    <row r="1200" spans="10:10" hidden="1" x14ac:dyDescent="0.25">
      <c r="J1200"/>
    </row>
  </sheetData>
  <sortState xmlns:xlrd2="http://schemas.microsoft.com/office/spreadsheetml/2017/richdata2" ref="A27:A35">
    <sortCondition ref="A27:A35"/>
  </sortState>
  <conditionalFormatting sqref="G33:G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tableParts count="2"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A5BB-6C93-45DF-8E75-59B03E5FC908}">
  <dimension ref="A1:N501"/>
  <sheetViews>
    <sheetView workbookViewId="0">
      <selection activeCell="F3" sqref="F3"/>
    </sheetView>
  </sheetViews>
  <sheetFormatPr defaultRowHeight="15" x14ac:dyDescent="0.25"/>
  <cols>
    <col min="1" max="1" width="10.140625" bestFit="1" customWidth="1"/>
    <col min="2" max="2" width="15.85546875" bestFit="1" customWidth="1"/>
    <col min="3" max="3" width="10.28515625" bestFit="1" customWidth="1"/>
    <col min="4" max="4" width="6.85546875" bestFit="1" customWidth="1"/>
    <col min="5" max="5" width="10.42578125" bestFit="1" customWidth="1"/>
    <col min="6" max="6" width="36.85546875" bestFit="1" customWidth="1"/>
    <col min="7" max="7" width="11.42578125" bestFit="1" customWidth="1"/>
    <col min="8" max="9" width="14.28515625" bestFit="1" customWidth="1"/>
    <col min="10" max="10" width="11.140625" bestFit="1" customWidth="1"/>
    <col min="11" max="11" width="11.42578125" bestFit="1" customWidth="1"/>
    <col min="12" max="12" width="14.140625" bestFit="1" customWidth="1"/>
    <col min="13" max="13" width="17.85546875" bestFit="1" customWidth="1"/>
    <col min="14" max="14" width="13.85546875" bestFit="1" customWidth="1"/>
  </cols>
  <sheetData>
    <row r="1" spans="1:14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25">
      <c r="A2" t="s">
        <v>16</v>
      </c>
      <c r="B2" s="1">
        <v>46276.168888888889</v>
      </c>
      <c r="C2" t="s">
        <v>17</v>
      </c>
      <c r="D2" t="s">
        <v>1</v>
      </c>
      <c r="E2" t="s">
        <v>18</v>
      </c>
      <c r="F2" t="s">
        <v>19</v>
      </c>
      <c r="G2">
        <v>2</v>
      </c>
      <c r="H2">
        <v>129.9</v>
      </c>
      <c r="I2">
        <v>40</v>
      </c>
      <c r="J2">
        <v>259.8</v>
      </c>
      <c r="K2">
        <v>80</v>
      </c>
      <c r="L2">
        <v>179.8</v>
      </c>
      <c r="M2" t="s">
        <v>20</v>
      </c>
      <c r="N2" t="s">
        <v>21</v>
      </c>
    </row>
    <row r="3" spans="1:14" x14ac:dyDescent="0.25">
      <c r="A3" t="s">
        <v>22</v>
      </c>
      <c r="B3" s="1">
        <v>46183.371504629627</v>
      </c>
      <c r="C3" t="s">
        <v>23</v>
      </c>
      <c r="D3" t="s">
        <v>24</v>
      </c>
      <c r="E3" t="s">
        <v>25</v>
      </c>
      <c r="F3" t="s">
        <v>26</v>
      </c>
      <c r="G3">
        <v>2</v>
      </c>
      <c r="H3">
        <v>139.9</v>
      </c>
      <c r="I3">
        <v>45</v>
      </c>
      <c r="J3">
        <v>279.8</v>
      </c>
      <c r="K3">
        <v>90</v>
      </c>
      <c r="L3">
        <v>189.8</v>
      </c>
      <c r="M3" t="s">
        <v>20</v>
      </c>
      <c r="N3" t="s">
        <v>27</v>
      </c>
    </row>
    <row r="4" spans="1:14" x14ac:dyDescent="0.25">
      <c r="A4" t="s">
        <v>28</v>
      </c>
      <c r="B4" s="1">
        <v>46301.155486111114</v>
      </c>
      <c r="C4" t="s">
        <v>29</v>
      </c>
      <c r="D4" t="s">
        <v>24</v>
      </c>
      <c r="E4" t="s">
        <v>18</v>
      </c>
      <c r="F4" t="s">
        <v>19</v>
      </c>
      <c r="G4">
        <v>2</v>
      </c>
      <c r="H4">
        <v>129.9</v>
      </c>
      <c r="I4">
        <v>40</v>
      </c>
      <c r="J4">
        <v>259.8</v>
      </c>
      <c r="K4">
        <v>80</v>
      </c>
      <c r="L4">
        <v>179.8</v>
      </c>
      <c r="M4" t="s">
        <v>30</v>
      </c>
      <c r="N4" t="s">
        <v>21</v>
      </c>
    </row>
    <row r="5" spans="1:14" x14ac:dyDescent="0.25">
      <c r="A5" t="s">
        <v>31</v>
      </c>
      <c r="B5" s="1">
        <v>46252.131886574076</v>
      </c>
      <c r="C5" t="s">
        <v>32</v>
      </c>
      <c r="D5" t="s">
        <v>24</v>
      </c>
      <c r="E5" t="s">
        <v>25</v>
      </c>
      <c r="F5" t="s">
        <v>33</v>
      </c>
      <c r="G5">
        <v>1</v>
      </c>
      <c r="H5">
        <v>169.9</v>
      </c>
      <c r="I5">
        <v>55</v>
      </c>
      <c r="J5">
        <v>169.9</v>
      </c>
      <c r="K5">
        <v>55</v>
      </c>
      <c r="L5">
        <v>114.9</v>
      </c>
      <c r="M5" t="s">
        <v>30</v>
      </c>
      <c r="N5" t="s">
        <v>21</v>
      </c>
    </row>
    <row r="6" spans="1:14" x14ac:dyDescent="0.25">
      <c r="A6" t="s">
        <v>34</v>
      </c>
      <c r="B6" s="1">
        <v>46121.04519675926</v>
      </c>
      <c r="C6" t="s">
        <v>35</v>
      </c>
      <c r="D6" t="s">
        <v>36</v>
      </c>
      <c r="E6" t="s">
        <v>25</v>
      </c>
      <c r="F6" t="s">
        <v>26</v>
      </c>
      <c r="G6">
        <v>1</v>
      </c>
      <c r="H6">
        <v>139.9</v>
      </c>
      <c r="I6">
        <v>45</v>
      </c>
      <c r="J6">
        <v>139.9</v>
      </c>
      <c r="K6">
        <v>45</v>
      </c>
      <c r="L6">
        <v>94.9</v>
      </c>
      <c r="M6" t="s">
        <v>30</v>
      </c>
      <c r="N6" t="s">
        <v>27</v>
      </c>
    </row>
    <row r="7" spans="1:14" x14ac:dyDescent="0.25">
      <c r="A7" t="s">
        <v>37</v>
      </c>
      <c r="B7" s="1">
        <v>46172.766631944447</v>
      </c>
      <c r="C7" t="s">
        <v>38</v>
      </c>
      <c r="D7" t="s">
        <v>39</v>
      </c>
      <c r="E7" t="s">
        <v>25</v>
      </c>
      <c r="F7" t="s">
        <v>40</v>
      </c>
      <c r="G7">
        <v>1</v>
      </c>
      <c r="H7">
        <v>139.9</v>
      </c>
      <c r="I7">
        <v>45</v>
      </c>
      <c r="J7">
        <v>139.9</v>
      </c>
      <c r="K7">
        <v>45</v>
      </c>
      <c r="L7">
        <v>94.9</v>
      </c>
      <c r="M7" t="s">
        <v>20</v>
      </c>
      <c r="N7" t="s">
        <v>21</v>
      </c>
    </row>
    <row r="8" spans="1:14" x14ac:dyDescent="0.25">
      <c r="A8" t="s">
        <v>41</v>
      </c>
      <c r="B8" s="1">
        <v>46256.30164351852</v>
      </c>
      <c r="C8" t="s">
        <v>42</v>
      </c>
      <c r="D8" t="s">
        <v>36</v>
      </c>
      <c r="E8" t="s">
        <v>25</v>
      </c>
      <c r="F8" t="s">
        <v>33</v>
      </c>
      <c r="G8">
        <v>1</v>
      </c>
      <c r="H8">
        <v>169.9</v>
      </c>
      <c r="I8">
        <v>55</v>
      </c>
      <c r="J8">
        <v>169.9</v>
      </c>
      <c r="K8">
        <v>55</v>
      </c>
      <c r="L8">
        <v>114.9</v>
      </c>
      <c r="M8" t="s">
        <v>43</v>
      </c>
      <c r="N8" t="s">
        <v>44</v>
      </c>
    </row>
    <row r="9" spans="1:14" x14ac:dyDescent="0.25">
      <c r="A9" t="s">
        <v>45</v>
      </c>
      <c r="B9" s="1">
        <v>46169.681458333333</v>
      </c>
      <c r="C9" t="s">
        <v>46</v>
      </c>
      <c r="D9" t="s">
        <v>39</v>
      </c>
      <c r="E9" t="s">
        <v>25</v>
      </c>
      <c r="F9" t="s">
        <v>47</v>
      </c>
      <c r="G9">
        <v>1</v>
      </c>
      <c r="H9">
        <v>159.9</v>
      </c>
      <c r="I9">
        <v>52</v>
      </c>
      <c r="J9">
        <v>159.9</v>
      </c>
      <c r="K9">
        <v>52</v>
      </c>
      <c r="L9">
        <v>107.9</v>
      </c>
      <c r="M9" t="s">
        <v>20</v>
      </c>
      <c r="N9" t="s">
        <v>27</v>
      </c>
    </row>
    <row r="10" spans="1:14" x14ac:dyDescent="0.25">
      <c r="A10" t="s">
        <v>48</v>
      </c>
      <c r="B10" s="1">
        <v>46114.242199074077</v>
      </c>
      <c r="C10" t="s">
        <v>49</v>
      </c>
      <c r="D10" t="s">
        <v>24</v>
      </c>
      <c r="E10" t="s">
        <v>50</v>
      </c>
      <c r="F10" t="s">
        <v>51</v>
      </c>
      <c r="G10">
        <v>1</v>
      </c>
      <c r="H10">
        <v>319.89999999999998</v>
      </c>
      <c r="I10">
        <v>105</v>
      </c>
      <c r="J10">
        <v>319.89999999999998</v>
      </c>
      <c r="K10">
        <v>105</v>
      </c>
      <c r="L10">
        <v>214.9</v>
      </c>
      <c r="M10" t="s">
        <v>43</v>
      </c>
      <c r="N10" t="s">
        <v>27</v>
      </c>
    </row>
    <row r="11" spans="1:14" x14ac:dyDescent="0.25">
      <c r="A11" t="s">
        <v>52</v>
      </c>
      <c r="B11" s="1">
        <v>46200.421539351853</v>
      </c>
      <c r="C11" t="s">
        <v>53</v>
      </c>
      <c r="D11" t="s">
        <v>54</v>
      </c>
      <c r="E11" t="s">
        <v>25</v>
      </c>
      <c r="F11" t="s">
        <v>26</v>
      </c>
      <c r="G11">
        <v>1</v>
      </c>
      <c r="H11">
        <v>139.9</v>
      </c>
      <c r="I11">
        <v>45</v>
      </c>
      <c r="J11">
        <v>139.9</v>
      </c>
      <c r="K11">
        <v>45</v>
      </c>
      <c r="L11">
        <v>94.9</v>
      </c>
      <c r="M11" t="s">
        <v>20</v>
      </c>
      <c r="N11" t="s">
        <v>21</v>
      </c>
    </row>
    <row r="12" spans="1:14" x14ac:dyDescent="0.25">
      <c r="A12" t="s">
        <v>55</v>
      </c>
      <c r="B12" s="1">
        <v>46308.510625000003</v>
      </c>
      <c r="C12" t="s">
        <v>56</v>
      </c>
      <c r="D12" t="s">
        <v>57</v>
      </c>
      <c r="E12" t="s">
        <v>58</v>
      </c>
      <c r="F12" t="s">
        <v>59</v>
      </c>
      <c r="G12">
        <v>3</v>
      </c>
      <c r="H12">
        <v>249.9</v>
      </c>
      <c r="I12">
        <v>80</v>
      </c>
      <c r="J12">
        <v>749.7</v>
      </c>
      <c r="K12">
        <v>240</v>
      </c>
      <c r="L12">
        <v>509.7</v>
      </c>
      <c r="M12" t="s">
        <v>43</v>
      </c>
      <c r="N12" t="s">
        <v>27</v>
      </c>
    </row>
    <row r="13" spans="1:14" x14ac:dyDescent="0.25">
      <c r="A13" t="s">
        <v>60</v>
      </c>
      <c r="B13" s="1">
        <v>46210.14671296296</v>
      </c>
      <c r="C13" t="s">
        <v>61</v>
      </c>
      <c r="D13" t="s">
        <v>62</v>
      </c>
      <c r="E13" t="s">
        <v>25</v>
      </c>
      <c r="F13" t="s">
        <v>47</v>
      </c>
      <c r="G13">
        <v>1</v>
      </c>
      <c r="H13">
        <v>159.9</v>
      </c>
      <c r="I13">
        <v>52</v>
      </c>
      <c r="J13">
        <v>159.9</v>
      </c>
      <c r="K13">
        <v>52</v>
      </c>
      <c r="L13">
        <v>107.9</v>
      </c>
      <c r="M13" t="s">
        <v>30</v>
      </c>
      <c r="N13" t="s">
        <v>27</v>
      </c>
    </row>
    <row r="14" spans="1:14" x14ac:dyDescent="0.25">
      <c r="A14" t="s">
        <v>63</v>
      </c>
      <c r="B14" s="1">
        <v>46267.401284722226</v>
      </c>
      <c r="C14" t="s">
        <v>64</v>
      </c>
      <c r="D14" t="s">
        <v>1</v>
      </c>
      <c r="E14" t="s">
        <v>25</v>
      </c>
      <c r="F14" t="s">
        <v>40</v>
      </c>
      <c r="G14">
        <v>2</v>
      </c>
      <c r="H14">
        <v>139.9</v>
      </c>
      <c r="I14">
        <v>45</v>
      </c>
      <c r="J14">
        <v>279.8</v>
      </c>
      <c r="K14">
        <v>90</v>
      </c>
      <c r="L14">
        <v>189.8</v>
      </c>
      <c r="M14" t="s">
        <v>30</v>
      </c>
      <c r="N14" t="s">
        <v>21</v>
      </c>
    </row>
    <row r="15" spans="1:14" x14ac:dyDescent="0.25">
      <c r="A15" t="s">
        <v>65</v>
      </c>
      <c r="B15" s="1">
        <v>46299.696956018517</v>
      </c>
      <c r="C15" t="s">
        <v>66</v>
      </c>
      <c r="D15" t="s">
        <v>36</v>
      </c>
      <c r="E15" t="s">
        <v>25</v>
      </c>
      <c r="F15" t="s">
        <v>40</v>
      </c>
      <c r="G15">
        <v>2</v>
      </c>
      <c r="H15">
        <v>139.9</v>
      </c>
      <c r="I15">
        <v>45</v>
      </c>
      <c r="J15">
        <v>279.8</v>
      </c>
      <c r="K15">
        <v>90</v>
      </c>
      <c r="L15">
        <v>189.8</v>
      </c>
      <c r="M15" t="s">
        <v>30</v>
      </c>
      <c r="N15" t="s">
        <v>67</v>
      </c>
    </row>
    <row r="16" spans="1:14" x14ac:dyDescent="0.25">
      <c r="A16" t="s">
        <v>68</v>
      </c>
      <c r="B16" s="1">
        <v>46209.119537037041</v>
      </c>
      <c r="C16" t="s">
        <v>69</v>
      </c>
      <c r="D16" t="s">
        <v>39</v>
      </c>
      <c r="E16" t="s">
        <v>25</v>
      </c>
      <c r="F16" t="s">
        <v>47</v>
      </c>
      <c r="G16">
        <v>1</v>
      </c>
      <c r="H16">
        <v>159.9</v>
      </c>
      <c r="I16">
        <v>52</v>
      </c>
      <c r="J16">
        <v>159.9</v>
      </c>
      <c r="K16">
        <v>52</v>
      </c>
      <c r="L16">
        <v>107.9</v>
      </c>
      <c r="M16" t="s">
        <v>20</v>
      </c>
      <c r="N16" t="s">
        <v>27</v>
      </c>
    </row>
    <row r="17" spans="1:14" x14ac:dyDescent="0.25">
      <c r="A17" t="s">
        <v>70</v>
      </c>
      <c r="B17" s="1">
        <v>46273.938310185185</v>
      </c>
      <c r="C17" t="s">
        <v>71</v>
      </c>
      <c r="D17" t="s">
        <v>72</v>
      </c>
      <c r="E17" t="s">
        <v>58</v>
      </c>
      <c r="F17" t="s">
        <v>73</v>
      </c>
      <c r="G17">
        <v>1</v>
      </c>
      <c r="H17">
        <v>219.9</v>
      </c>
      <c r="I17">
        <v>70</v>
      </c>
      <c r="J17">
        <v>219.9</v>
      </c>
      <c r="K17">
        <v>70</v>
      </c>
      <c r="L17">
        <v>149.9</v>
      </c>
      <c r="M17" t="s">
        <v>30</v>
      </c>
      <c r="N17" t="s">
        <v>21</v>
      </c>
    </row>
    <row r="18" spans="1:14" x14ac:dyDescent="0.25">
      <c r="A18" t="s">
        <v>74</v>
      </c>
      <c r="B18" s="1">
        <v>46260.291701388887</v>
      </c>
      <c r="C18" t="s">
        <v>75</v>
      </c>
      <c r="D18" t="s">
        <v>76</v>
      </c>
      <c r="E18" t="s">
        <v>50</v>
      </c>
      <c r="F18" t="s">
        <v>77</v>
      </c>
      <c r="G18">
        <v>1</v>
      </c>
      <c r="H18">
        <v>289.89999999999998</v>
      </c>
      <c r="I18">
        <v>95</v>
      </c>
      <c r="J18">
        <v>289.89999999999998</v>
      </c>
      <c r="K18">
        <v>95</v>
      </c>
      <c r="L18">
        <v>194.9</v>
      </c>
      <c r="M18" t="s">
        <v>30</v>
      </c>
      <c r="N18" t="s">
        <v>27</v>
      </c>
    </row>
    <row r="19" spans="1:14" x14ac:dyDescent="0.25">
      <c r="A19" t="s">
        <v>78</v>
      </c>
      <c r="B19" s="1">
        <v>46124.345729166664</v>
      </c>
      <c r="C19" t="s">
        <v>79</v>
      </c>
      <c r="D19" t="s">
        <v>24</v>
      </c>
      <c r="E19" t="s">
        <v>58</v>
      </c>
      <c r="F19" t="s">
        <v>73</v>
      </c>
      <c r="G19">
        <v>1</v>
      </c>
      <c r="H19">
        <v>219.9</v>
      </c>
      <c r="I19">
        <v>70</v>
      </c>
      <c r="J19">
        <v>219.9</v>
      </c>
      <c r="K19">
        <v>70</v>
      </c>
      <c r="L19">
        <v>149.9</v>
      </c>
      <c r="M19" t="s">
        <v>43</v>
      </c>
      <c r="N19" t="s">
        <v>27</v>
      </c>
    </row>
    <row r="20" spans="1:14" x14ac:dyDescent="0.25">
      <c r="A20" t="s">
        <v>80</v>
      </c>
      <c r="B20" s="1">
        <v>46133.353148148148</v>
      </c>
      <c r="C20" t="s">
        <v>81</v>
      </c>
      <c r="D20" t="s">
        <v>24</v>
      </c>
      <c r="E20" t="s">
        <v>58</v>
      </c>
      <c r="F20" t="s">
        <v>59</v>
      </c>
      <c r="G20">
        <v>2</v>
      </c>
      <c r="H20">
        <v>249.9</v>
      </c>
      <c r="I20">
        <v>80</v>
      </c>
      <c r="J20">
        <v>499.8</v>
      </c>
      <c r="K20">
        <v>160</v>
      </c>
      <c r="L20">
        <v>339.8</v>
      </c>
      <c r="M20" t="s">
        <v>20</v>
      </c>
      <c r="N20" t="s">
        <v>27</v>
      </c>
    </row>
    <row r="21" spans="1:14" x14ac:dyDescent="0.25">
      <c r="A21" t="s">
        <v>82</v>
      </c>
      <c r="B21" s="1">
        <v>46210.421689814815</v>
      </c>
      <c r="C21" t="s">
        <v>83</v>
      </c>
      <c r="D21" t="s">
        <v>1</v>
      </c>
      <c r="E21" t="s">
        <v>50</v>
      </c>
      <c r="F21" t="s">
        <v>84</v>
      </c>
      <c r="G21">
        <v>1</v>
      </c>
      <c r="H21">
        <v>259.89999999999998</v>
      </c>
      <c r="I21">
        <v>82</v>
      </c>
      <c r="J21">
        <v>259.89999999999998</v>
      </c>
      <c r="K21">
        <v>82</v>
      </c>
      <c r="L21">
        <v>177.9</v>
      </c>
      <c r="M21" t="s">
        <v>30</v>
      </c>
      <c r="N21" t="s">
        <v>21</v>
      </c>
    </row>
    <row r="22" spans="1:14" x14ac:dyDescent="0.25">
      <c r="A22" t="s">
        <v>85</v>
      </c>
      <c r="B22" s="1">
        <v>46206.246747685182</v>
      </c>
      <c r="C22" t="s">
        <v>86</v>
      </c>
      <c r="D22" t="s">
        <v>24</v>
      </c>
      <c r="E22" t="s">
        <v>50</v>
      </c>
      <c r="F22" t="s">
        <v>51</v>
      </c>
      <c r="G22">
        <v>1</v>
      </c>
      <c r="H22">
        <v>319.89999999999998</v>
      </c>
      <c r="I22">
        <v>105</v>
      </c>
      <c r="J22">
        <v>319.89999999999998</v>
      </c>
      <c r="K22">
        <v>105</v>
      </c>
      <c r="L22">
        <v>214.9</v>
      </c>
      <c r="M22" t="s">
        <v>20</v>
      </c>
      <c r="N22" t="s">
        <v>27</v>
      </c>
    </row>
    <row r="23" spans="1:14" x14ac:dyDescent="0.25">
      <c r="A23" t="s">
        <v>87</v>
      </c>
      <c r="B23" s="1">
        <v>46166.405011574076</v>
      </c>
      <c r="C23" t="s">
        <v>88</v>
      </c>
      <c r="D23" t="s">
        <v>24</v>
      </c>
      <c r="E23" t="s">
        <v>25</v>
      </c>
      <c r="F23" t="s">
        <v>40</v>
      </c>
      <c r="G23">
        <v>2</v>
      </c>
      <c r="H23">
        <v>139.9</v>
      </c>
      <c r="I23">
        <v>45</v>
      </c>
      <c r="J23">
        <v>279.8</v>
      </c>
      <c r="K23">
        <v>90</v>
      </c>
      <c r="L23">
        <v>189.8</v>
      </c>
      <c r="M23" t="s">
        <v>30</v>
      </c>
      <c r="N23" t="s">
        <v>21</v>
      </c>
    </row>
    <row r="24" spans="1:14" x14ac:dyDescent="0.25">
      <c r="A24" t="s">
        <v>89</v>
      </c>
      <c r="B24" s="1">
        <v>46268.963275462964</v>
      </c>
      <c r="C24" t="s">
        <v>90</v>
      </c>
      <c r="D24" t="s">
        <v>24</v>
      </c>
      <c r="E24" t="s">
        <v>25</v>
      </c>
      <c r="F24" t="s">
        <v>26</v>
      </c>
      <c r="G24">
        <v>3</v>
      </c>
      <c r="H24">
        <v>139.9</v>
      </c>
      <c r="I24">
        <v>45</v>
      </c>
      <c r="J24">
        <v>419.7</v>
      </c>
      <c r="K24">
        <v>135</v>
      </c>
      <c r="L24">
        <v>284.7</v>
      </c>
      <c r="M24" t="s">
        <v>20</v>
      </c>
      <c r="N24" t="s">
        <v>27</v>
      </c>
    </row>
    <row r="25" spans="1:14" x14ac:dyDescent="0.25">
      <c r="A25" t="s">
        <v>91</v>
      </c>
      <c r="B25" s="1">
        <v>46154.701261574075</v>
      </c>
      <c r="C25" t="s">
        <v>92</v>
      </c>
      <c r="D25" t="s">
        <v>76</v>
      </c>
      <c r="E25" t="s">
        <v>58</v>
      </c>
      <c r="F25" t="s">
        <v>73</v>
      </c>
      <c r="G25">
        <v>1</v>
      </c>
      <c r="H25">
        <v>219.9</v>
      </c>
      <c r="I25">
        <v>70</v>
      </c>
      <c r="J25">
        <v>219.9</v>
      </c>
      <c r="K25">
        <v>70</v>
      </c>
      <c r="L25">
        <v>149.9</v>
      </c>
      <c r="M25" t="s">
        <v>43</v>
      </c>
      <c r="N25" t="s">
        <v>27</v>
      </c>
    </row>
    <row r="26" spans="1:14" x14ac:dyDescent="0.25">
      <c r="A26" t="s">
        <v>93</v>
      </c>
      <c r="B26" s="1">
        <v>46276.844907407409</v>
      </c>
      <c r="C26" t="s">
        <v>94</v>
      </c>
      <c r="D26" t="s">
        <v>39</v>
      </c>
      <c r="E26" t="s">
        <v>58</v>
      </c>
      <c r="F26" t="s">
        <v>95</v>
      </c>
      <c r="G26">
        <v>1</v>
      </c>
      <c r="H26">
        <v>279.89999999999998</v>
      </c>
      <c r="I26">
        <v>90</v>
      </c>
      <c r="J26">
        <v>279.89999999999998</v>
      </c>
      <c r="K26">
        <v>90</v>
      </c>
      <c r="L26">
        <v>189.9</v>
      </c>
      <c r="M26" t="s">
        <v>30</v>
      </c>
      <c r="N26" t="s">
        <v>21</v>
      </c>
    </row>
    <row r="27" spans="1:14" x14ac:dyDescent="0.25">
      <c r="A27" t="s">
        <v>96</v>
      </c>
      <c r="B27" s="1">
        <v>46196.084849537037</v>
      </c>
      <c r="C27" t="s">
        <v>97</v>
      </c>
      <c r="D27" t="s">
        <v>1</v>
      </c>
      <c r="E27" t="s">
        <v>58</v>
      </c>
      <c r="F27" t="s">
        <v>59</v>
      </c>
      <c r="G27">
        <v>2</v>
      </c>
      <c r="H27">
        <v>249.9</v>
      </c>
      <c r="I27">
        <v>80</v>
      </c>
      <c r="J27">
        <v>499.8</v>
      </c>
      <c r="K27">
        <v>160</v>
      </c>
      <c r="L27">
        <v>339.8</v>
      </c>
      <c r="M27" t="s">
        <v>30</v>
      </c>
      <c r="N27" t="s">
        <v>27</v>
      </c>
    </row>
    <row r="28" spans="1:14" x14ac:dyDescent="0.25">
      <c r="A28" t="s">
        <v>98</v>
      </c>
      <c r="B28" s="1">
        <v>46193.608576388891</v>
      </c>
      <c r="C28" t="s">
        <v>99</v>
      </c>
      <c r="D28" t="s">
        <v>1</v>
      </c>
      <c r="E28" t="s">
        <v>25</v>
      </c>
      <c r="F28" t="s">
        <v>40</v>
      </c>
      <c r="G28">
        <v>1</v>
      </c>
      <c r="H28">
        <v>139.9</v>
      </c>
      <c r="I28">
        <v>45</v>
      </c>
      <c r="J28">
        <v>139.9</v>
      </c>
      <c r="K28">
        <v>45</v>
      </c>
      <c r="L28">
        <v>94.9</v>
      </c>
      <c r="M28" t="s">
        <v>30</v>
      </c>
      <c r="N28" t="s">
        <v>27</v>
      </c>
    </row>
    <row r="29" spans="1:14" x14ac:dyDescent="0.25">
      <c r="A29" t="s">
        <v>100</v>
      </c>
      <c r="B29" s="1">
        <v>46167.86042824074</v>
      </c>
      <c r="C29" t="s">
        <v>101</v>
      </c>
      <c r="D29" t="s">
        <v>24</v>
      </c>
      <c r="E29" t="s">
        <v>50</v>
      </c>
      <c r="F29" t="s">
        <v>84</v>
      </c>
      <c r="G29">
        <v>2</v>
      </c>
      <c r="H29">
        <v>259.89999999999998</v>
      </c>
      <c r="I29">
        <v>82</v>
      </c>
      <c r="J29">
        <v>519.79999999999995</v>
      </c>
      <c r="K29">
        <v>164</v>
      </c>
      <c r="L29">
        <v>355.8</v>
      </c>
      <c r="M29" t="s">
        <v>30</v>
      </c>
      <c r="N29" t="s">
        <v>67</v>
      </c>
    </row>
    <row r="30" spans="1:14" x14ac:dyDescent="0.25">
      <c r="A30" t="s">
        <v>102</v>
      </c>
      <c r="B30" s="1">
        <v>46193.322557870371</v>
      </c>
      <c r="C30" t="s">
        <v>103</v>
      </c>
      <c r="D30" t="s">
        <v>57</v>
      </c>
      <c r="E30" t="s">
        <v>25</v>
      </c>
      <c r="F30" t="s">
        <v>33</v>
      </c>
      <c r="G30">
        <v>1</v>
      </c>
      <c r="H30">
        <v>169.9</v>
      </c>
      <c r="I30">
        <v>55</v>
      </c>
      <c r="J30">
        <v>169.9</v>
      </c>
      <c r="K30">
        <v>55</v>
      </c>
      <c r="L30">
        <v>114.9</v>
      </c>
      <c r="M30" t="s">
        <v>30</v>
      </c>
      <c r="N30" t="s">
        <v>21</v>
      </c>
    </row>
    <row r="31" spans="1:14" x14ac:dyDescent="0.25">
      <c r="A31" t="s">
        <v>104</v>
      </c>
      <c r="B31" s="1">
        <v>46214.975219907406</v>
      </c>
      <c r="C31" t="s">
        <v>105</v>
      </c>
      <c r="D31" t="s">
        <v>24</v>
      </c>
      <c r="E31" t="s">
        <v>50</v>
      </c>
      <c r="F31" t="s">
        <v>77</v>
      </c>
      <c r="G31">
        <v>1</v>
      </c>
      <c r="H31">
        <v>289.89999999999998</v>
      </c>
      <c r="I31">
        <v>95</v>
      </c>
      <c r="J31">
        <v>289.89999999999998</v>
      </c>
      <c r="K31">
        <v>95</v>
      </c>
      <c r="L31">
        <v>194.9</v>
      </c>
      <c r="M31" t="s">
        <v>30</v>
      </c>
      <c r="N31" t="s">
        <v>21</v>
      </c>
    </row>
    <row r="32" spans="1:14" x14ac:dyDescent="0.25">
      <c r="A32" t="s">
        <v>106</v>
      </c>
      <c r="B32" s="1">
        <v>46180.211817129632</v>
      </c>
      <c r="C32" t="s">
        <v>107</v>
      </c>
      <c r="D32" t="s">
        <v>62</v>
      </c>
      <c r="E32" t="s">
        <v>25</v>
      </c>
      <c r="F32" t="s">
        <v>47</v>
      </c>
      <c r="G32">
        <v>1</v>
      </c>
      <c r="H32">
        <v>159.9</v>
      </c>
      <c r="I32">
        <v>52</v>
      </c>
      <c r="J32">
        <v>159.9</v>
      </c>
      <c r="K32">
        <v>52</v>
      </c>
      <c r="L32">
        <v>107.9</v>
      </c>
      <c r="M32" t="s">
        <v>30</v>
      </c>
      <c r="N32" t="s">
        <v>67</v>
      </c>
    </row>
    <row r="33" spans="1:14" x14ac:dyDescent="0.25">
      <c r="A33" t="s">
        <v>108</v>
      </c>
      <c r="B33" s="1">
        <v>46304.886828703704</v>
      </c>
      <c r="C33" t="s">
        <v>109</v>
      </c>
      <c r="D33" t="s">
        <v>24</v>
      </c>
      <c r="E33" t="s">
        <v>50</v>
      </c>
      <c r="F33" t="s">
        <v>84</v>
      </c>
      <c r="G33">
        <v>2</v>
      </c>
      <c r="H33">
        <v>259.89999999999998</v>
      </c>
      <c r="I33">
        <v>82</v>
      </c>
      <c r="J33">
        <v>519.79999999999995</v>
      </c>
      <c r="K33">
        <v>164</v>
      </c>
      <c r="L33">
        <v>355.8</v>
      </c>
      <c r="M33" t="s">
        <v>30</v>
      </c>
      <c r="N33" t="s">
        <v>27</v>
      </c>
    </row>
    <row r="34" spans="1:14" x14ac:dyDescent="0.25">
      <c r="A34" t="s">
        <v>110</v>
      </c>
      <c r="B34" s="1">
        <v>46215.549155092594</v>
      </c>
      <c r="C34" t="s">
        <v>94</v>
      </c>
      <c r="D34" t="s">
        <v>1</v>
      </c>
      <c r="E34" t="s">
        <v>50</v>
      </c>
      <c r="F34" t="s">
        <v>77</v>
      </c>
      <c r="G34">
        <v>1</v>
      </c>
      <c r="H34">
        <v>289.89999999999998</v>
      </c>
      <c r="I34">
        <v>95</v>
      </c>
      <c r="J34">
        <v>289.89999999999998</v>
      </c>
      <c r="K34">
        <v>95</v>
      </c>
      <c r="L34">
        <v>194.9</v>
      </c>
      <c r="M34" t="s">
        <v>20</v>
      </c>
      <c r="N34" t="s">
        <v>21</v>
      </c>
    </row>
    <row r="35" spans="1:14" x14ac:dyDescent="0.25">
      <c r="A35" t="s">
        <v>111</v>
      </c>
      <c r="B35" s="1">
        <v>46243.748680555553</v>
      </c>
      <c r="C35" t="s">
        <v>35</v>
      </c>
      <c r="D35" t="s">
        <v>76</v>
      </c>
      <c r="E35" t="s">
        <v>25</v>
      </c>
      <c r="F35" t="s">
        <v>40</v>
      </c>
      <c r="G35">
        <v>1</v>
      </c>
      <c r="H35">
        <v>139.9</v>
      </c>
      <c r="I35">
        <v>45</v>
      </c>
      <c r="J35">
        <v>139.9</v>
      </c>
      <c r="K35">
        <v>45</v>
      </c>
      <c r="L35">
        <v>94.9</v>
      </c>
      <c r="M35" t="s">
        <v>30</v>
      </c>
      <c r="N35" t="s">
        <v>27</v>
      </c>
    </row>
    <row r="36" spans="1:14" x14ac:dyDescent="0.25">
      <c r="A36" t="s">
        <v>112</v>
      </c>
      <c r="B36" s="1">
        <v>46141.231863425928</v>
      </c>
      <c r="C36" t="s">
        <v>113</v>
      </c>
      <c r="D36" t="s">
        <v>54</v>
      </c>
      <c r="E36" t="s">
        <v>25</v>
      </c>
      <c r="F36" t="s">
        <v>26</v>
      </c>
      <c r="G36">
        <v>1</v>
      </c>
      <c r="H36">
        <v>139.9</v>
      </c>
      <c r="I36">
        <v>45</v>
      </c>
      <c r="J36">
        <v>139.9</v>
      </c>
      <c r="K36">
        <v>45</v>
      </c>
      <c r="L36">
        <v>94.9</v>
      </c>
      <c r="M36" t="s">
        <v>30</v>
      </c>
      <c r="N36" t="s">
        <v>27</v>
      </c>
    </row>
    <row r="37" spans="1:14" x14ac:dyDescent="0.25">
      <c r="A37" t="s">
        <v>114</v>
      </c>
      <c r="B37" s="1">
        <v>46287.640428240738</v>
      </c>
      <c r="C37" t="s">
        <v>115</v>
      </c>
      <c r="D37" t="s">
        <v>24</v>
      </c>
      <c r="E37" t="s">
        <v>50</v>
      </c>
      <c r="F37" t="s">
        <v>77</v>
      </c>
      <c r="G37">
        <v>1</v>
      </c>
      <c r="H37">
        <v>289.89999999999998</v>
      </c>
      <c r="I37">
        <v>95</v>
      </c>
      <c r="J37">
        <v>289.89999999999998</v>
      </c>
      <c r="K37">
        <v>95</v>
      </c>
      <c r="L37">
        <v>194.9</v>
      </c>
      <c r="M37" t="s">
        <v>43</v>
      </c>
      <c r="N37" t="s">
        <v>27</v>
      </c>
    </row>
    <row r="38" spans="1:14" x14ac:dyDescent="0.25">
      <c r="A38" t="s">
        <v>116</v>
      </c>
      <c r="B38" s="1">
        <v>46211.578923611109</v>
      </c>
      <c r="C38" t="s">
        <v>115</v>
      </c>
      <c r="D38" t="s">
        <v>24</v>
      </c>
      <c r="E38" t="s">
        <v>25</v>
      </c>
      <c r="F38" t="s">
        <v>33</v>
      </c>
      <c r="G38">
        <v>3</v>
      </c>
      <c r="H38">
        <v>169.9</v>
      </c>
      <c r="I38">
        <v>55</v>
      </c>
      <c r="J38">
        <v>509.7</v>
      </c>
      <c r="K38">
        <v>165</v>
      </c>
      <c r="L38">
        <v>344.7</v>
      </c>
      <c r="M38" t="s">
        <v>20</v>
      </c>
      <c r="N38" t="s">
        <v>27</v>
      </c>
    </row>
    <row r="39" spans="1:14" x14ac:dyDescent="0.25">
      <c r="A39" t="s">
        <v>117</v>
      </c>
      <c r="B39" s="1">
        <v>46248.38140046296</v>
      </c>
      <c r="C39" t="s">
        <v>118</v>
      </c>
      <c r="D39" t="s">
        <v>54</v>
      </c>
      <c r="E39" t="s">
        <v>58</v>
      </c>
      <c r="F39" t="s">
        <v>95</v>
      </c>
      <c r="G39">
        <v>1</v>
      </c>
      <c r="H39">
        <v>279.89999999999998</v>
      </c>
      <c r="I39">
        <v>90</v>
      </c>
      <c r="J39">
        <v>279.89999999999998</v>
      </c>
      <c r="K39">
        <v>90</v>
      </c>
      <c r="L39">
        <v>189.9</v>
      </c>
      <c r="M39" t="s">
        <v>20</v>
      </c>
      <c r="N39" t="s">
        <v>21</v>
      </c>
    </row>
    <row r="40" spans="1:14" x14ac:dyDescent="0.25">
      <c r="A40" t="s">
        <v>119</v>
      </c>
      <c r="B40" s="1">
        <v>46115.173773148148</v>
      </c>
      <c r="C40" t="s">
        <v>120</v>
      </c>
      <c r="D40" t="s">
        <v>24</v>
      </c>
      <c r="E40" t="s">
        <v>58</v>
      </c>
      <c r="F40" t="s">
        <v>95</v>
      </c>
      <c r="G40">
        <v>3</v>
      </c>
      <c r="H40">
        <v>279.89999999999998</v>
      </c>
      <c r="I40">
        <v>90</v>
      </c>
      <c r="J40">
        <v>839.7</v>
      </c>
      <c r="K40">
        <v>270</v>
      </c>
      <c r="L40">
        <v>569.70000000000005</v>
      </c>
      <c r="M40" t="s">
        <v>20</v>
      </c>
      <c r="N40" t="s">
        <v>27</v>
      </c>
    </row>
    <row r="41" spans="1:14" x14ac:dyDescent="0.25">
      <c r="A41" t="s">
        <v>121</v>
      </c>
      <c r="B41" s="1">
        <v>46305.404780092591</v>
      </c>
      <c r="C41" t="s">
        <v>122</v>
      </c>
      <c r="D41" t="s">
        <v>24</v>
      </c>
      <c r="E41" t="s">
        <v>58</v>
      </c>
      <c r="F41" t="s">
        <v>95</v>
      </c>
      <c r="G41">
        <v>2</v>
      </c>
      <c r="H41">
        <v>279.89999999999998</v>
      </c>
      <c r="I41">
        <v>90</v>
      </c>
      <c r="J41">
        <v>559.79999999999995</v>
      </c>
      <c r="K41">
        <v>180</v>
      </c>
      <c r="L41">
        <v>379.8</v>
      </c>
      <c r="M41" t="s">
        <v>43</v>
      </c>
      <c r="N41" t="s">
        <v>44</v>
      </c>
    </row>
    <row r="42" spans="1:14" x14ac:dyDescent="0.25">
      <c r="A42" t="s">
        <v>123</v>
      </c>
      <c r="B42" s="1">
        <v>46200.169224537036</v>
      </c>
      <c r="C42" t="s">
        <v>124</v>
      </c>
      <c r="D42" t="s">
        <v>54</v>
      </c>
      <c r="E42" t="s">
        <v>25</v>
      </c>
      <c r="F42" t="s">
        <v>33</v>
      </c>
      <c r="G42">
        <v>1</v>
      </c>
      <c r="H42">
        <v>169.9</v>
      </c>
      <c r="I42">
        <v>55</v>
      </c>
      <c r="J42">
        <v>169.9</v>
      </c>
      <c r="K42">
        <v>55</v>
      </c>
      <c r="L42">
        <v>114.9</v>
      </c>
      <c r="M42" t="s">
        <v>43</v>
      </c>
      <c r="N42" t="s">
        <v>67</v>
      </c>
    </row>
    <row r="43" spans="1:14" x14ac:dyDescent="0.25">
      <c r="A43" t="s">
        <v>125</v>
      </c>
      <c r="B43" s="1">
        <v>46153.688310185185</v>
      </c>
      <c r="C43" t="s">
        <v>126</v>
      </c>
      <c r="D43" t="s">
        <v>24</v>
      </c>
      <c r="E43" t="s">
        <v>25</v>
      </c>
      <c r="F43" t="s">
        <v>47</v>
      </c>
      <c r="G43">
        <v>2</v>
      </c>
      <c r="H43">
        <v>159.9</v>
      </c>
      <c r="I43">
        <v>52</v>
      </c>
      <c r="J43">
        <v>319.8</v>
      </c>
      <c r="K43">
        <v>104</v>
      </c>
      <c r="L43">
        <v>215.8</v>
      </c>
      <c r="M43" t="s">
        <v>30</v>
      </c>
      <c r="N43" t="s">
        <v>21</v>
      </c>
    </row>
    <row r="44" spans="1:14" x14ac:dyDescent="0.25">
      <c r="A44" t="s">
        <v>127</v>
      </c>
      <c r="B44" s="1">
        <v>46241.271018518521</v>
      </c>
      <c r="C44" t="s">
        <v>128</v>
      </c>
      <c r="D44" t="s">
        <v>36</v>
      </c>
      <c r="E44" t="s">
        <v>50</v>
      </c>
      <c r="F44" t="s">
        <v>77</v>
      </c>
      <c r="G44">
        <v>2</v>
      </c>
      <c r="H44">
        <v>289.89999999999998</v>
      </c>
      <c r="I44">
        <v>95</v>
      </c>
      <c r="J44">
        <v>579.79999999999995</v>
      </c>
      <c r="K44">
        <v>190</v>
      </c>
      <c r="L44">
        <v>389.8</v>
      </c>
      <c r="M44" t="s">
        <v>30</v>
      </c>
      <c r="N44" t="s">
        <v>27</v>
      </c>
    </row>
    <row r="45" spans="1:14" x14ac:dyDescent="0.25">
      <c r="A45" t="s">
        <v>129</v>
      </c>
      <c r="B45" s="1">
        <v>46273.452743055554</v>
      </c>
      <c r="C45" t="s">
        <v>130</v>
      </c>
      <c r="D45" t="s">
        <v>24</v>
      </c>
      <c r="E45" t="s">
        <v>25</v>
      </c>
      <c r="F45" t="s">
        <v>26</v>
      </c>
      <c r="G45">
        <v>2</v>
      </c>
      <c r="H45">
        <v>139.9</v>
      </c>
      <c r="I45">
        <v>45</v>
      </c>
      <c r="J45">
        <v>279.8</v>
      </c>
      <c r="K45">
        <v>90</v>
      </c>
      <c r="L45">
        <v>189.8</v>
      </c>
      <c r="M45" t="s">
        <v>20</v>
      </c>
      <c r="N45" t="s">
        <v>27</v>
      </c>
    </row>
    <row r="46" spans="1:14" x14ac:dyDescent="0.25">
      <c r="A46" t="s">
        <v>131</v>
      </c>
      <c r="B46" s="1">
        <v>46152.567233796297</v>
      </c>
      <c r="C46" t="s">
        <v>132</v>
      </c>
      <c r="D46" t="s">
        <v>54</v>
      </c>
      <c r="E46" t="s">
        <v>50</v>
      </c>
      <c r="F46" t="s">
        <v>77</v>
      </c>
      <c r="G46">
        <v>1</v>
      </c>
      <c r="H46">
        <v>289.89999999999998</v>
      </c>
      <c r="I46">
        <v>95</v>
      </c>
      <c r="J46">
        <v>289.89999999999998</v>
      </c>
      <c r="K46">
        <v>95</v>
      </c>
      <c r="L46">
        <v>194.9</v>
      </c>
      <c r="M46" t="s">
        <v>30</v>
      </c>
      <c r="N46" t="s">
        <v>21</v>
      </c>
    </row>
    <row r="47" spans="1:14" x14ac:dyDescent="0.25">
      <c r="A47" t="s">
        <v>133</v>
      </c>
      <c r="B47" s="1">
        <v>46251.804560185185</v>
      </c>
      <c r="C47" t="s">
        <v>134</v>
      </c>
      <c r="D47" t="s">
        <v>24</v>
      </c>
      <c r="E47" t="s">
        <v>18</v>
      </c>
      <c r="F47" t="s">
        <v>135</v>
      </c>
      <c r="G47">
        <v>1</v>
      </c>
      <c r="H47">
        <v>89.9</v>
      </c>
      <c r="I47">
        <v>25</v>
      </c>
      <c r="J47">
        <v>89.9</v>
      </c>
      <c r="K47">
        <v>25</v>
      </c>
      <c r="L47">
        <v>64.900000000000006</v>
      </c>
      <c r="M47" t="s">
        <v>43</v>
      </c>
      <c r="N47" t="s">
        <v>67</v>
      </c>
    </row>
    <row r="48" spans="1:14" x14ac:dyDescent="0.25">
      <c r="A48" t="s">
        <v>136</v>
      </c>
      <c r="B48" s="1">
        <v>46266.491747685184</v>
      </c>
      <c r="C48" t="s">
        <v>137</v>
      </c>
      <c r="D48" t="s">
        <v>39</v>
      </c>
      <c r="E48" t="s">
        <v>50</v>
      </c>
      <c r="F48" t="s">
        <v>77</v>
      </c>
      <c r="G48">
        <v>1</v>
      </c>
      <c r="H48">
        <v>289.89999999999998</v>
      </c>
      <c r="I48">
        <v>95</v>
      </c>
      <c r="J48">
        <v>289.89999999999998</v>
      </c>
      <c r="K48">
        <v>95</v>
      </c>
      <c r="L48">
        <v>194.9</v>
      </c>
      <c r="M48" t="s">
        <v>30</v>
      </c>
      <c r="N48" t="s">
        <v>21</v>
      </c>
    </row>
    <row r="49" spans="1:14" x14ac:dyDescent="0.25">
      <c r="A49" t="s">
        <v>138</v>
      </c>
      <c r="B49" s="1">
        <v>46141.55064814815</v>
      </c>
      <c r="C49" t="s">
        <v>101</v>
      </c>
      <c r="D49" t="s">
        <v>72</v>
      </c>
      <c r="E49" t="s">
        <v>25</v>
      </c>
      <c r="F49" t="s">
        <v>47</v>
      </c>
      <c r="G49">
        <v>1</v>
      </c>
      <c r="H49">
        <v>159.9</v>
      </c>
      <c r="I49">
        <v>52</v>
      </c>
      <c r="J49">
        <v>159.9</v>
      </c>
      <c r="K49">
        <v>52</v>
      </c>
      <c r="L49">
        <v>107.9</v>
      </c>
      <c r="M49" t="s">
        <v>20</v>
      </c>
      <c r="N49" t="s">
        <v>21</v>
      </c>
    </row>
    <row r="50" spans="1:14" x14ac:dyDescent="0.25">
      <c r="A50" t="s">
        <v>139</v>
      </c>
      <c r="B50" s="1">
        <v>46174.087870370371</v>
      </c>
      <c r="C50" t="s">
        <v>140</v>
      </c>
      <c r="D50" t="s">
        <v>57</v>
      </c>
      <c r="E50" t="s">
        <v>18</v>
      </c>
      <c r="F50" t="s">
        <v>19</v>
      </c>
      <c r="G50">
        <v>3</v>
      </c>
      <c r="H50">
        <v>129.9</v>
      </c>
      <c r="I50">
        <v>40</v>
      </c>
      <c r="J50">
        <v>389.7</v>
      </c>
      <c r="K50">
        <v>120</v>
      </c>
      <c r="L50">
        <v>269.7</v>
      </c>
      <c r="M50" t="s">
        <v>30</v>
      </c>
      <c r="N50" t="s">
        <v>21</v>
      </c>
    </row>
    <row r="51" spans="1:14" x14ac:dyDescent="0.25">
      <c r="A51" t="s">
        <v>141</v>
      </c>
      <c r="B51" s="1">
        <v>46133.129930555559</v>
      </c>
      <c r="C51" t="s">
        <v>142</v>
      </c>
      <c r="D51" t="s">
        <v>62</v>
      </c>
      <c r="E51" t="s">
        <v>25</v>
      </c>
      <c r="F51" t="s">
        <v>33</v>
      </c>
      <c r="G51">
        <v>3</v>
      </c>
      <c r="H51">
        <v>169.9</v>
      </c>
      <c r="I51">
        <v>55</v>
      </c>
      <c r="J51">
        <v>509.7</v>
      </c>
      <c r="K51">
        <v>165</v>
      </c>
      <c r="L51">
        <v>344.7</v>
      </c>
      <c r="M51" t="s">
        <v>43</v>
      </c>
      <c r="N51" t="s">
        <v>44</v>
      </c>
    </row>
    <row r="52" spans="1:14" x14ac:dyDescent="0.25">
      <c r="A52" t="s">
        <v>143</v>
      </c>
      <c r="B52" s="1">
        <v>46130.808125000003</v>
      </c>
      <c r="C52" t="s">
        <v>122</v>
      </c>
      <c r="D52" t="s">
        <v>24</v>
      </c>
      <c r="E52" t="s">
        <v>25</v>
      </c>
      <c r="F52" t="s">
        <v>26</v>
      </c>
      <c r="G52">
        <v>2</v>
      </c>
      <c r="H52">
        <v>139.9</v>
      </c>
      <c r="I52">
        <v>45</v>
      </c>
      <c r="J52">
        <v>279.8</v>
      </c>
      <c r="K52">
        <v>90</v>
      </c>
      <c r="L52">
        <v>189.8</v>
      </c>
      <c r="M52" t="s">
        <v>30</v>
      </c>
      <c r="N52" t="s">
        <v>21</v>
      </c>
    </row>
    <row r="53" spans="1:14" x14ac:dyDescent="0.25">
      <c r="A53" t="s">
        <v>144</v>
      </c>
      <c r="B53" s="1">
        <v>46145.721018518518</v>
      </c>
      <c r="C53" t="s">
        <v>145</v>
      </c>
      <c r="D53" t="s">
        <v>36</v>
      </c>
      <c r="E53" t="s">
        <v>18</v>
      </c>
      <c r="F53" t="s">
        <v>19</v>
      </c>
      <c r="G53">
        <v>2</v>
      </c>
      <c r="H53">
        <v>129.9</v>
      </c>
      <c r="I53">
        <v>40</v>
      </c>
      <c r="J53">
        <v>259.8</v>
      </c>
      <c r="K53">
        <v>80</v>
      </c>
      <c r="L53">
        <v>179.8</v>
      </c>
      <c r="M53" t="s">
        <v>20</v>
      </c>
      <c r="N53" t="s">
        <v>21</v>
      </c>
    </row>
    <row r="54" spans="1:14" x14ac:dyDescent="0.25">
      <c r="A54" t="s">
        <v>146</v>
      </c>
      <c r="B54" s="1">
        <v>46155.402094907404</v>
      </c>
      <c r="C54" t="s">
        <v>147</v>
      </c>
      <c r="D54" t="s">
        <v>36</v>
      </c>
      <c r="E54" t="s">
        <v>18</v>
      </c>
      <c r="F54" t="s">
        <v>19</v>
      </c>
      <c r="G54">
        <v>1</v>
      </c>
      <c r="H54">
        <v>129.9</v>
      </c>
      <c r="I54">
        <v>40</v>
      </c>
      <c r="J54">
        <v>129.9</v>
      </c>
      <c r="K54">
        <v>40</v>
      </c>
      <c r="L54">
        <v>89.9</v>
      </c>
      <c r="M54" t="s">
        <v>20</v>
      </c>
      <c r="N54" t="s">
        <v>27</v>
      </c>
    </row>
    <row r="55" spans="1:14" x14ac:dyDescent="0.25">
      <c r="A55" t="s">
        <v>148</v>
      </c>
      <c r="B55" s="1">
        <v>46221.321296296293</v>
      </c>
      <c r="C55" t="s">
        <v>149</v>
      </c>
      <c r="D55" t="s">
        <v>72</v>
      </c>
      <c r="E55" t="s">
        <v>50</v>
      </c>
      <c r="F55" t="s">
        <v>84</v>
      </c>
      <c r="G55">
        <v>2</v>
      </c>
      <c r="H55">
        <v>259.89999999999998</v>
      </c>
      <c r="I55">
        <v>82</v>
      </c>
      <c r="J55">
        <v>519.79999999999995</v>
      </c>
      <c r="K55">
        <v>164</v>
      </c>
      <c r="L55">
        <v>355.8</v>
      </c>
      <c r="M55" t="s">
        <v>30</v>
      </c>
      <c r="N55" t="s">
        <v>21</v>
      </c>
    </row>
    <row r="56" spans="1:14" x14ac:dyDescent="0.25">
      <c r="A56" t="s">
        <v>150</v>
      </c>
      <c r="B56" s="1">
        <v>46306.305150462962</v>
      </c>
      <c r="C56" t="s">
        <v>151</v>
      </c>
      <c r="D56" t="s">
        <v>39</v>
      </c>
      <c r="E56" t="s">
        <v>58</v>
      </c>
      <c r="F56" t="s">
        <v>73</v>
      </c>
      <c r="G56">
        <v>2</v>
      </c>
      <c r="H56">
        <v>219.9</v>
      </c>
      <c r="I56">
        <v>70</v>
      </c>
      <c r="J56">
        <v>439.8</v>
      </c>
      <c r="K56">
        <v>140</v>
      </c>
      <c r="L56">
        <v>299.8</v>
      </c>
      <c r="M56" t="s">
        <v>43</v>
      </c>
      <c r="N56" t="s">
        <v>27</v>
      </c>
    </row>
    <row r="57" spans="1:14" x14ac:dyDescent="0.25">
      <c r="A57" t="s">
        <v>152</v>
      </c>
      <c r="B57" s="1">
        <v>46215.985879629632</v>
      </c>
      <c r="C57" t="s">
        <v>153</v>
      </c>
      <c r="D57" t="s">
        <v>36</v>
      </c>
      <c r="E57" t="s">
        <v>58</v>
      </c>
      <c r="F57" t="s">
        <v>73</v>
      </c>
      <c r="G57">
        <v>1</v>
      </c>
      <c r="H57">
        <v>219.9</v>
      </c>
      <c r="I57">
        <v>70</v>
      </c>
      <c r="J57">
        <v>219.9</v>
      </c>
      <c r="K57">
        <v>70</v>
      </c>
      <c r="L57">
        <v>149.9</v>
      </c>
      <c r="M57" t="s">
        <v>20</v>
      </c>
      <c r="N57" t="s">
        <v>27</v>
      </c>
    </row>
    <row r="58" spans="1:14" x14ac:dyDescent="0.25">
      <c r="A58" t="s">
        <v>154</v>
      </c>
      <c r="B58" s="1">
        <v>46245.684918981482</v>
      </c>
      <c r="C58" t="s">
        <v>155</v>
      </c>
      <c r="D58" t="s">
        <v>62</v>
      </c>
      <c r="E58" t="s">
        <v>25</v>
      </c>
      <c r="F58" t="s">
        <v>26</v>
      </c>
      <c r="G58">
        <v>1</v>
      </c>
      <c r="H58">
        <v>139.9</v>
      </c>
      <c r="I58">
        <v>45</v>
      </c>
      <c r="J58">
        <v>139.9</v>
      </c>
      <c r="K58">
        <v>45</v>
      </c>
      <c r="L58">
        <v>94.9</v>
      </c>
      <c r="M58" t="s">
        <v>30</v>
      </c>
      <c r="N58" t="s">
        <v>27</v>
      </c>
    </row>
    <row r="59" spans="1:14" x14ac:dyDescent="0.25">
      <c r="A59" t="s">
        <v>156</v>
      </c>
      <c r="B59" s="1">
        <v>46170.097129629627</v>
      </c>
      <c r="C59" t="s">
        <v>157</v>
      </c>
      <c r="D59" t="s">
        <v>24</v>
      </c>
      <c r="E59" t="s">
        <v>50</v>
      </c>
      <c r="F59" t="s">
        <v>77</v>
      </c>
      <c r="G59">
        <v>1</v>
      </c>
      <c r="H59">
        <v>289.89999999999998</v>
      </c>
      <c r="I59">
        <v>95</v>
      </c>
      <c r="J59">
        <v>289.89999999999998</v>
      </c>
      <c r="K59">
        <v>95</v>
      </c>
      <c r="L59">
        <v>194.9</v>
      </c>
      <c r="M59" t="s">
        <v>30</v>
      </c>
      <c r="N59" t="s">
        <v>27</v>
      </c>
    </row>
    <row r="60" spans="1:14" x14ac:dyDescent="0.25">
      <c r="A60" t="s">
        <v>158</v>
      </c>
      <c r="B60" s="1">
        <v>46263.840312499997</v>
      </c>
      <c r="C60" t="s">
        <v>97</v>
      </c>
      <c r="D60" t="s">
        <v>24</v>
      </c>
      <c r="E60" t="s">
        <v>25</v>
      </c>
      <c r="F60" t="s">
        <v>26</v>
      </c>
      <c r="G60">
        <v>2</v>
      </c>
      <c r="H60">
        <v>139.9</v>
      </c>
      <c r="I60">
        <v>45</v>
      </c>
      <c r="J60">
        <v>279.8</v>
      </c>
      <c r="K60">
        <v>90</v>
      </c>
      <c r="L60">
        <v>189.8</v>
      </c>
      <c r="M60" t="s">
        <v>30</v>
      </c>
      <c r="N60" t="s">
        <v>21</v>
      </c>
    </row>
    <row r="61" spans="1:14" x14ac:dyDescent="0.25">
      <c r="A61" t="s">
        <v>159</v>
      </c>
      <c r="B61" s="1">
        <v>46114.10769675926</v>
      </c>
      <c r="C61" t="s">
        <v>160</v>
      </c>
      <c r="D61" t="s">
        <v>36</v>
      </c>
      <c r="E61" t="s">
        <v>58</v>
      </c>
      <c r="F61" t="s">
        <v>95</v>
      </c>
      <c r="G61">
        <v>1</v>
      </c>
      <c r="H61">
        <v>279.89999999999998</v>
      </c>
      <c r="I61">
        <v>90</v>
      </c>
      <c r="J61">
        <v>279.89999999999998</v>
      </c>
      <c r="K61">
        <v>90</v>
      </c>
      <c r="L61">
        <v>189.9</v>
      </c>
      <c r="M61" t="s">
        <v>20</v>
      </c>
      <c r="N61" t="s">
        <v>21</v>
      </c>
    </row>
    <row r="62" spans="1:14" x14ac:dyDescent="0.25">
      <c r="A62" t="s">
        <v>161</v>
      </c>
      <c r="B62" s="1">
        <v>46128.347303240742</v>
      </c>
      <c r="C62" t="s">
        <v>162</v>
      </c>
      <c r="D62" t="s">
        <v>24</v>
      </c>
      <c r="E62" t="s">
        <v>50</v>
      </c>
      <c r="F62" t="s">
        <v>77</v>
      </c>
      <c r="G62">
        <v>1</v>
      </c>
      <c r="H62">
        <v>289.89999999999998</v>
      </c>
      <c r="I62">
        <v>95</v>
      </c>
      <c r="J62">
        <v>289.89999999999998</v>
      </c>
      <c r="K62">
        <v>95</v>
      </c>
      <c r="L62">
        <v>194.9</v>
      </c>
      <c r="M62" t="s">
        <v>20</v>
      </c>
      <c r="N62" t="s">
        <v>27</v>
      </c>
    </row>
    <row r="63" spans="1:14" x14ac:dyDescent="0.25">
      <c r="A63" t="s">
        <v>163</v>
      </c>
      <c r="B63" s="1">
        <v>46197.107488425929</v>
      </c>
      <c r="C63" t="s">
        <v>164</v>
      </c>
      <c r="D63" t="s">
        <v>165</v>
      </c>
      <c r="E63" t="s">
        <v>50</v>
      </c>
      <c r="F63" t="s">
        <v>77</v>
      </c>
      <c r="G63">
        <v>1</v>
      </c>
      <c r="H63">
        <v>289.89999999999998</v>
      </c>
      <c r="I63">
        <v>95</v>
      </c>
      <c r="J63">
        <v>289.89999999999998</v>
      </c>
      <c r="K63">
        <v>95</v>
      </c>
      <c r="L63">
        <v>194.9</v>
      </c>
      <c r="M63" t="s">
        <v>20</v>
      </c>
      <c r="N63" t="s">
        <v>27</v>
      </c>
    </row>
    <row r="64" spans="1:14" x14ac:dyDescent="0.25">
      <c r="A64" t="s">
        <v>166</v>
      </c>
      <c r="B64" s="1">
        <v>46184.736388888887</v>
      </c>
      <c r="C64" t="s">
        <v>167</v>
      </c>
      <c r="D64" t="s">
        <v>1</v>
      </c>
      <c r="E64" t="s">
        <v>25</v>
      </c>
      <c r="F64" t="s">
        <v>26</v>
      </c>
      <c r="G64">
        <v>1</v>
      </c>
      <c r="H64">
        <v>139.9</v>
      </c>
      <c r="I64">
        <v>45</v>
      </c>
      <c r="J64">
        <v>139.9</v>
      </c>
      <c r="K64">
        <v>45</v>
      </c>
      <c r="L64">
        <v>94.9</v>
      </c>
      <c r="M64" t="s">
        <v>43</v>
      </c>
      <c r="N64" t="s">
        <v>44</v>
      </c>
    </row>
    <row r="65" spans="1:14" x14ac:dyDescent="0.25">
      <c r="A65" t="s">
        <v>168</v>
      </c>
      <c r="B65" s="1">
        <v>46298.866284722222</v>
      </c>
      <c r="C65" t="s">
        <v>169</v>
      </c>
      <c r="D65" t="s">
        <v>54</v>
      </c>
      <c r="E65" t="s">
        <v>25</v>
      </c>
      <c r="F65" t="s">
        <v>33</v>
      </c>
      <c r="G65">
        <v>1</v>
      </c>
      <c r="H65">
        <v>169.9</v>
      </c>
      <c r="I65">
        <v>55</v>
      </c>
      <c r="J65">
        <v>169.9</v>
      </c>
      <c r="K65">
        <v>55</v>
      </c>
      <c r="L65">
        <v>114.9</v>
      </c>
      <c r="M65" t="s">
        <v>30</v>
      </c>
      <c r="N65" t="s">
        <v>21</v>
      </c>
    </row>
    <row r="66" spans="1:14" x14ac:dyDescent="0.25">
      <c r="A66" t="s">
        <v>170</v>
      </c>
      <c r="B66" s="1">
        <v>46175.717511574076</v>
      </c>
      <c r="C66" t="s">
        <v>64</v>
      </c>
      <c r="D66" t="s">
        <v>36</v>
      </c>
      <c r="E66" t="s">
        <v>58</v>
      </c>
      <c r="F66" t="s">
        <v>73</v>
      </c>
      <c r="G66">
        <v>2</v>
      </c>
      <c r="H66">
        <v>219.9</v>
      </c>
      <c r="I66">
        <v>70</v>
      </c>
      <c r="J66">
        <v>439.8</v>
      </c>
      <c r="K66">
        <v>140</v>
      </c>
      <c r="L66">
        <v>299.8</v>
      </c>
      <c r="M66" t="s">
        <v>30</v>
      </c>
      <c r="N66" t="s">
        <v>67</v>
      </c>
    </row>
    <row r="67" spans="1:14" x14ac:dyDescent="0.25">
      <c r="A67" t="s">
        <v>171</v>
      </c>
      <c r="B67" s="1">
        <v>46161.143090277779</v>
      </c>
      <c r="C67" t="s">
        <v>172</v>
      </c>
      <c r="D67" t="s">
        <v>72</v>
      </c>
      <c r="E67" t="s">
        <v>50</v>
      </c>
      <c r="F67" t="s">
        <v>84</v>
      </c>
      <c r="G67">
        <v>1</v>
      </c>
      <c r="H67">
        <v>259.89999999999998</v>
      </c>
      <c r="I67">
        <v>82</v>
      </c>
      <c r="J67">
        <v>259.89999999999998</v>
      </c>
      <c r="K67">
        <v>82</v>
      </c>
      <c r="L67">
        <v>177.9</v>
      </c>
      <c r="M67" t="s">
        <v>30</v>
      </c>
      <c r="N67" t="s">
        <v>21</v>
      </c>
    </row>
    <row r="68" spans="1:14" x14ac:dyDescent="0.25">
      <c r="A68" t="s">
        <v>173</v>
      </c>
      <c r="B68" s="1">
        <v>46223.537476851852</v>
      </c>
      <c r="C68" t="s">
        <v>174</v>
      </c>
      <c r="D68" t="s">
        <v>1</v>
      </c>
      <c r="E68" t="s">
        <v>58</v>
      </c>
      <c r="F68" t="s">
        <v>73</v>
      </c>
      <c r="G68">
        <v>1</v>
      </c>
      <c r="H68">
        <v>219.9</v>
      </c>
      <c r="I68">
        <v>70</v>
      </c>
      <c r="J68">
        <v>219.9</v>
      </c>
      <c r="K68">
        <v>70</v>
      </c>
      <c r="L68">
        <v>149.9</v>
      </c>
      <c r="M68" t="s">
        <v>30</v>
      </c>
      <c r="N68" t="s">
        <v>21</v>
      </c>
    </row>
    <row r="69" spans="1:14" x14ac:dyDescent="0.25">
      <c r="A69" t="s">
        <v>175</v>
      </c>
      <c r="B69" s="1">
        <v>46232.082175925927</v>
      </c>
      <c r="C69" t="s">
        <v>176</v>
      </c>
      <c r="D69" t="s">
        <v>24</v>
      </c>
      <c r="E69" t="s">
        <v>58</v>
      </c>
      <c r="F69" t="s">
        <v>95</v>
      </c>
      <c r="G69">
        <v>2</v>
      </c>
      <c r="H69">
        <v>279.89999999999998</v>
      </c>
      <c r="I69">
        <v>90</v>
      </c>
      <c r="J69">
        <v>559.79999999999995</v>
      </c>
      <c r="K69">
        <v>180</v>
      </c>
      <c r="L69">
        <v>379.8</v>
      </c>
      <c r="M69" t="s">
        <v>30</v>
      </c>
      <c r="N69" t="s">
        <v>21</v>
      </c>
    </row>
    <row r="70" spans="1:14" x14ac:dyDescent="0.25">
      <c r="A70" t="s">
        <v>177</v>
      </c>
      <c r="B70" s="1">
        <v>46278.149293981478</v>
      </c>
      <c r="C70" t="s">
        <v>178</v>
      </c>
      <c r="D70" t="s">
        <v>1</v>
      </c>
      <c r="E70" t="s">
        <v>50</v>
      </c>
      <c r="F70" t="s">
        <v>51</v>
      </c>
      <c r="G70">
        <v>1</v>
      </c>
      <c r="H70">
        <v>319.89999999999998</v>
      </c>
      <c r="I70">
        <v>105</v>
      </c>
      <c r="J70">
        <v>319.89999999999998</v>
      </c>
      <c r="K70">
        <v>105</v>
      </c>
      <c r="L70">
        <v>214.9</v>
      </c>
      <c r="M70" t="s">
        <v>30</v>
      </c>
      <c r="N70" t="s">
        <v>27</v>
      </c>
    </row>
    <row r="71" spans="1:14" x14ac:dyDescent="0.25">
      <c r="A71" t="s">
        <v>179</v>
      </c>
      <c r="B71" s="1">
        <v>46299.514733796299</v>
      </c>
      <c r="C71" t="s">
        <v>180</v>
      </c>
      <c r="D71" t="s">
        <v>36</v>
      </c>
      <c r="E71" t="s">
        <v>50</v>
      </c>
      <c r="F71" t="s">
        <v>77</v>
      </c>
      <c r="G71">
        <v>1</v>
      </c>
      <c r="H71">
        <v>289.89999999999998</v>
      </c>
      <c r="I71">
        <v>95</v>
      </c>
      <c r="J71">
        <v>289.89999999999998</v>
      </c>
      <c r="K71">
        <v>95</v>
      </c>
      <c r="L71">
        <v>194.9</v>
      </c>
      <c r="M71" t="s">
        <v>30</v>
      </c>
      <c r="N71" t="s">
        <v>27</v>
      </c>
    </row>
    <row r="72" spans="1:14" x14ac:dyDescent="0.25">
      <c r="A72" t="s">
        <v>181</v>
      </c>
      <c r="B72" s="1">
        <v>46176.290648148148</v>
      </c>
      <c r="C72" t="s">
        <v>182</v>
      </c>
      <c r="D72" t="s">
        <v>36</v>
      </c>
      <c r="E72" t="s">
        <v>58</v>
      </c>
      <c r="F72" t="s">
        <v>95</v>
      </c>
      <c r="G72">
        <v>2</v>
      </c>
      <c r="H72">
        <v>279.89999999999998</v>
      </c>
      <c r="I72">
        <v>90</v>
      </c>
      <c r="J72">
        <v>559.79999999999995</v>
      </c>
      <c r="K72">
        <v>180</v>
      </c>
      <c r="L72">
        <v>379.8</v>
      </c>
      <c r="M72" t="s">
        <v>30</v>
      </c>
      <c r="N72" t="s">
        <v>21</v>
      </c>
    </row>
    <row r="73" spans="1:14" x14ac:dyDescent="0.25">
      <c r="A73" t="s">
        <v>183</v>
      </c>
      <c r="B73" s="1">
        <v>46227.212650462963</v>
      </c>
      <c r="C73" t="s">
        <v>174</v>
      </c>
      <c r="D73" t="s">
        <v>54</v>
      </c>
      <c r="E73" t="s">
        <v>25</v>
      </c>
      <c r="F73" t="s">
        <v>26</v>
      </c>
      <c r="G73">
        <v>1</v>
      </c>
      <c r="H73">
        <v>139.9</v>
      </c>
      <c r="I73">
        <v>45</v>
      </c>
      <c r="J73">
        <v>139.9</v>
      </c>
      <c r="K73">
        <v>45</v>
      </c>
      <c r="L73">
        <v>94.9</v>
      </c>
      <c r="M73" t="s">
        <v>43</v>
      </c>
      <c r="N73" t="s">
        <v>27</v>
      </c>
    </row>
    <row r="74" spans="1:14" x14ac:dyDescent="0.25">
      <c r="A74" t="s">
        <v>184</v>
      </c>
      <c r="B74" s="1">
        <v>46184.701817129629</v>
      </c>
      <c r="C74" t="s">
        <v>107</v>
      </c>
      <c r="D74" t="s">
        <v>1</v>
      </c>
      <c r="E74" t="s">
        <v>50</v>
      </c>
      <c r="F74" t="s">
        <v>77</v>
      </c>
      <c r="G74">
        <v>1</v>
      </c>
      <c r="H74">
        <v>289.89999999999998</v>
      </c>
      <c r="I74">
        <v>95</v>
      </c>
      <c r="J74">
        <v>289.89999999999998</v>
      </c>
      <c r="K74">
        <v>95</v>
      </c>
      <c r="L74">
        <v>194.9</v>
      </c>
      <c r="M74" t="s">
        <v>20</v>
      </c>
      <c r="N74" t="s">
        <v>67</v>
      </c>
    </row>
    <row r="75" spans="1:14" x14ac:dyDescent="0.25">
      <c r="A75" t="s">
        <v>185</v>
      </c>
      <c r="B75" s="1">
        <v>46226.834861111114</v>
      </c>
      <c r="C75" t="s">
        <v>186</v>
      </c>
      <c r="D75" t="s">
        <v>1</v>
      </c>
      <c r="E75" t="s">
        <v>18</v>
      </c>
      <c r="F75" t="s">
        <v>135</v>
      </c>
      <c r="G75">
        <v>3</v>
      </c>
      <c r="H75">
        <v>89.9</v>
      </c>
      <c r="I75">
        <v>25</v>
      </c>
      <c r="J75">
        <v>269.7</v>
      </c>
      <c r="K75">
        <v>75</v>
      </c>
      <c r="L75">
        <v>194.7</v>
      </c>
      <c r="M75" t="s">
        <v>30</v>
      </c>
      <c r="N75" t="s">
        <v>21</v>
      </c>
    </row>
    <row r="76" spans="1:14" x14ac:dyDescent="0.25">
      <c r="A76" t="s">
        <v>187</v>
      </c>
      <c r="B76" s="1">
        <v>46279.820081018515</v>
      </c>
      <c r="C76" t="s">
        <v>188</v>
      </c>
      <c r="D76" t="s">
        <v>24</v>
      </c>
      <c r="E76" t="s">
        <v>25</v>
      </c>
      <c r="F76" t="s">
        <v>40</v>
      </c>
      <c r="G76">
        <v>1</v>
      </c>
      <c r="H76">
        <v>139.9</v>
      </c>
      <c r="I76">
        <v>45</v>
      </c>
      <c r="J76">
        <v>139.9</v>
      </c>
      <c r="K76">
        <v>45</v>
      </c>
      <c r="L76">
        <v>94.9</v>
      </c>
      <c r="M76" t="s">
        <v>20</v>
      </c>
      <c r="N76" t="s">
        <v>21</v>
      </c>
    </row>
    <row r="77" spans="1:14" x14ac:dyDescent="0.25">
      <c r="A77" t="s">
        <v>189</v>
      </c>
      <c r="B77" s="1">
        <v>46136.358587962961</v>
      </c>
      <c r="C77" t="s">
        <v>190</v>
      </c>
      <c r="D77" t="s">
        <v>24</v>
      </c>
      <c r="E77" t="s">
        <v>58</v>
      </c>
      <c r="F77" t="s">
        <v>73</v>
      </c>
      <c r="G77">
        <v>1</v>
      </c>
      <c r="H77">
        <v>219.9</v>
      </c>
      <c r="I77">
        <v>70</v>
      </c>
      <c r="J77">
        <v>219.9</v>
      </c>
      <c r="K77">
        <v>70</v>
      </c>
      <c r="L77">
        <v>149.9</v>
      </c>
      <c r="M77" t="s">
        <v>20</v>
      </c>
      <c r="N77" t="s">
        <v>27</v>
      </c>
    </row>
    <row r="78" spans="1:14" x14ac:dyDescent="0.25">
      <c r="A78" t="s">
        <v>191</v>
      </c>
      <c r="B78" s="1">
        <v>46237.730231481481</v>
      </c>
      <c r="C78" t="s">
        <v>167</v>
      </c>
      <c r="D78" t="s">
        <v>24</v>
      </c>
      <c r="E78" t="s">
        <v>50</v>
      </c>
      <c r="F78" t="s">
        <v>51</v>
      </c>
      <c r="G78">
        <v>1</v>
      </c>
      <c r="H78">
        <v>319.89999999999998</v>
      </c>
      <c r="I78">
        <v>105</v>
      </c>
      <c r="J78">
        <v>319.89999999999998</v>
      </c>
      <c r="K78">
        <v>105</v>
      </c>
      <c r="L78">
        <v>214.9</v>
      </c>
      <c r="M78" t="s">
        <v>20</v>
      </c>
      <c r="N78" t="s">
        <v>27</v>
      </c>
    </row>
    <row r="79" spans="1:14" x14ac:dyDescent="0.25">
      <c r="A79" t="s">
        <v>192</v>
      </c>
      <c r="B79" s="1">
        <v>46128.249756944446</v>
      </c>
      <c r="C79" t="s">
        <v>92</v>
      </c>
      <c r="D79" t="s">
        <v>39</v>
      </c>
      <c r="E79" t="s">
        <v>25</v>
      </c>
      <c r="F79" t="s">
        <v>40</v>
      </c>
      <c r="G79">
        <v>1</v>
      </c>
      <c r="H79">
        <v>139.9</v>
      </c>
      <c r="I79">
        <v>45</v>
      </c>
      <c r="J79">
        <v>139.9</v>
      </c>
      <c r="K79">
        <v>45</v>
      </c>
      <c r="L79">
        <v>94.9</v>
      </c>
      <c r="M79" t="s">
        <v>20</v>
      </c>
      <c r="N79" t="s">
        <v>27</v>
      </c>
    </row>
    <row r="80" spans="1:14" x14ac:dyDescent="0.25">
      <c r="A80" t="s">
        <v>193</v>
      </c>
      <c r="B80" s="1">
        <v>46212.402314814812</v>
      </c>
      <c r="C80" t="s">
        <v>149</v>
      </c>
      <c r="D80" t="s">
        <v>165</v>
      </c>
      <c r="E80" t="s">
        <v>25</v>
      </c>
      <c r="F80" t="s">
        <v>33</v>
      </c>
      <c r="G80">
        <v>1</v>
      </c>
      <c r="H80">
        <v>169.9</v>
      </c>
      <c r="I80">
        <v>55</v>
      </c>
      <c r="J80">
        <v>169.9</v>
      </c>
      <c r="K80">
        <v>55</v>
      </c>
      <c r="L80">
        <v>114.9</v>
      </c>
      <c r="M80" t="s">
        <v>20</v>
      </c>
      <c r="N80" t="s">
        <v>27</v>
      </c>
    </row>
    <row r="81" spans="1:14" x14ac:dyDescent="0.25">
      <c r="A81" t="s">
        <v>194</v>
      </c>
      <c r="B81" s="1">
        <v>46186.641712962963</v>
      </c>
      <c r="C81" t="s">
        <v>49</v>
      </c>
      <c r="D81" t="s">
        <v>62</v>
      </c>
      <c r="E81" t="s">
        <v>58</v>
      </c>
      <c r="F81" t="s">
        <v>95</v>
      </c>
      <c r="G81">
        <v>1</v>
      </c>
      <c r="H81">
        <v>279.89999999999998</v>
      </c>
      <c r="I81">
        <v>90</v>
      </c>
      <c r="J81">
        <v>279.89999999999998</v>
      </c>
      <c r="K81">
        <v>90</v>
      </c>
      <c r="L81">
        <v>189.9</v>
      </c>
      <c r="M81" t="s">
        <v>20</v>
      </c>
      <c r="N81" t="s">
        <v>27</v>
      </c>
    </row>
    <row r="82" spans="1:14" x14ac:dyDescent="0.25">
      <c r="A82" t="s">
        <v>195</v>
      </c>
      <c r="B82" s="1">
        <v>46313.843113425923</v>
      </c>
      <c r="C82" t="s">
        <v>196</v>
      </c>
      <c r="D82" t="s">
        <v>24</v>
      </c>
      <c r="E82" t="s">
        <v>18</v>
      </c>
      <c r="F82" t="s">
        <v>19</v>
      </c>
      <c r="G82">
        <v>1</v>
      </c>
      <c r="H82">
        <v>129.9</v>
      </c>
      <c r="I82">
        <v>40</v>
      </c>
      <c r="J82">
        <v>129.9</v>
      </c>
      <c r="K82">
        <v>40</v>
      </c>
      <c r="L82">
        <v>89.9</v>
      </c>
      <c r="M82" t="s">
        <v>20</v>
      </c>
      <c r="N82" t="s">
        <v>27</v>
      </c>
    </row>
    <row r="83" spans="1:14" x14ac:dyDescent="0.25">
      <c r="A83" t="s">
        <v>197</v>
      </c>
      <c r="B83" s="1">
        <v>46237.234826388885</v>
      </c>
      <c r="C83" t="s">
        <v>182</v>
      </c>
      <c r="D83" t="s">
        <v>62</v>
      </c>
      <c r="E83" t="s">
        <v>25</v>
      </c>
      <c r="F83" t="s">
        <v>47</v>
      </c>
      <c r="G83">
        <v>1</v>
      </c>
      <c r="H83">
        <v>159.9</v>
      </c>
      <c r="I83">
        <v>52</v>
      </c>
      <c r="J83">
        <v>159.9</v>
      </c>
      <c r="K83">
        <v>52</v>
      </c>
      <c r="L83">
        <v>107.9</v>
      </c>
      <c r="M83" t="s">
        <v>43</v>
      </c>
      <c r="N83" t="s">
        <v>21</v>
      </c>
    </row>
    <row r="84" spans="1:14" x14ac:dyDescent="0.25">
      <c r="A84" t="s">
        <v>198</v>
      </c>
      <c r="B84" s="1">
        <v>46168.08871527778</v>
      </c>
      <c r="C84" t="s">
        <v>199</v>
      </c>
      <c r="D84" t="s">
        <v>24</v>
      </c>
      <c r="E84" t="s">
        <v>18</v>
      </c>
      <c r="F84" t="s">
        <v>19</v>
      </c>
      <c r="G84">
        <v>3</v>
      </c>
      <c r="H84">
        <v>129.9</v>
      </c>
      <c r="I84">
        <v>40</v>
      </c>
      <c r="J84">
        <v>389.7</v>
      </c>
      <c r="K84">
        <v>120</v>
      </c>
      <c r="L84">
        <v>269.7</v>
      </c>
      <c r="M84" t="s">
        <v>20</v>
      </c>
      <c r="N84" t="s">
        <v>27</v>
      </c>
    </row>
    <row r="85" spans="1:14" x14ac:dyDescent="0.25">
      <c r="A85" t="s">
        <v>200</v>
      </c>
      <c r="B85" s="1">
        <v>46251.092465277776</v>
      </c>
      <c r="C85" t="s">
        <v>201</v>
      </c>
      <c r="D85" t="s">
        <v>1</v>
      </c>
      <c r="E85" t="s">
        <v>25</v>
      </c>
      <c r="F85" t="s">
        <v>47</v>
      </c>
      <c r="G85">
        <v>1</v>
      </c>
      <c r="H85">
        <v>159.9</v>
      </c>
      <c r="I85">
        <v>52</v>
      </c>
      <c r="J85">
        <v>159.9</v>
      </c>
      <c r="K85">
        <v>52</v>
      </c>
      <c r="L85">
        <v>107.9</v>
      </c>
      <c r="M85" t="s">
        <v>20</v>
      </c>
      <c r="N85" t="s">
        <v>27</v>
      </c>
    </row>
    <row r="86" spans="1:14" x14ac:dyDescent="0.25">
      <c r="A86" t="s">
        <v>202</v>
      </c>
      <c r="B86" s="1">
        <v>46127.076064814813</v>
      </c>
      <c r="C86" t="s">
        <v>203</v>
      </c>
      <c r="D86" t="s">
        <v>39</v>
      </c>
      <c r="E86" t="s">
        <v>58</v>
      </c>
      <c r="F86" t="s">
        <v>73</v>
      </c>
      <c r="G86">
        <v>1</v>
      </c>
      <c r="H86">
        <v>219.9</v>
      </c>
      <c r="I86">
        <v>70</v>
      </c>
      <c r="J86">
        <v>219.9</v>
      </c>
      <c r="K86">
        <v>70</v>
      </c>
      <c r="L86">
        <v>149.9</v>
      </c>
      <c r="M86" t="s">
        <v>30</v>
      </c>
      <c r="N86" t="s">
        <v>21</v>
      </c>
    </row>
    <row r="87" spans="1:14" x14ac:dyDescent="0.25">
      <c r="A87" t="s">
        <v>204</v>
      </c>
      <c r="B87" s="1">
        <v>46241.80572916667</v>
      </c>
      <c r="C87" t="s">
        <v>205</v>
      </c>
      <c r="D87" t="s">
        <v>36</v>
      </c>
      <c r="E87" t="s">
        <v>25</v>
      </c>
      <c r="F87" t="s">
        <v>40</v>
      </c>
      <c r="G87">
        <v>2</v>
      </c>
      <c r="H87">
        <v>139.9</v>
      </c>
      <c r="I87">
        <v>45</v>
      </c>
      <c r="J87">
        <v>279.8</v>
      </c>
      <c r="K87">
        <v>90</v>
      </c>
      <c r="L87">
        <v>189.8</v>
      </c>
      <c r="M87" t="s">
        <v>30</v>
      </c>
      <c r="N87" t="s">
        <v>21</v>
      </c>
    </row>
    <row r="88" spans="1:14" x14ac:dyDescent="0.25">
      <c r="A88" t="s">
        <v>206</v>
      </c>
      <c r="B88" s="1">
        <v>46243.121527777781</v>
      </c>
      <c r="C88" t="s">
        <v>207</v>
      </c>
      <c r="D88" t="s">
        <v>24</v>
      </c>
      <c r="E88" t="s">
        <v>58</v>
      </c>
      <c r="F88" t="s">
        <v>59</v>
      </c>
      <c r="G88">
        <v>1</v>
      </c>
      <c r="H88">
        <v>249.9</v>
      </c>
      <c r="I88">
        <v>80</v>
      </c>
      <c r="J88">
        <v>249.9</v>
      </c>
      <c r="K88">
        <v>80</v>
      </c>
      <c r="L88">
        <v>169.9</v>
      </c>
      <c r="M88" t="s">
        <v>30</v>
      </c>
      <c r="N88" t="s">
        <v>21</v>
      </c>
    </row>
    <row r="89" spans="1:14" x14ac:dyDescent="0.25">
      <c r="A89" t="s">
        <v>208</v>
      </c>
      <c r="B89" s="1">
        <v>46130.902685185189</v>
      </c>
      <c r="C89" t="s">
        <v>162</v>
      </c>
      <c r="D89" t="s">
        <v>72</v>
      </c>
      <c r="E89" t="s">
        <v>25</v>
      </c>
      <c r="F89" t="s">
        <v>26</v>
      </c>
      <c r="G89">
        <v>2</v>
      </c>
      <c r="H89">
        <v>139.9</v>
      </c>
      <c r="I89">
        <v>45</v>
      </c>
      <c r="J89">
        <v>279.8</v>
      </c>
      <c r="K89">
        <v>90</v>
      </c>
      <c r="L89">
        <v>189.8</v>
      </c>
      <c r="M89" t="s">
        <v>20</v>
      </c>
      <c r="N89" t="s">
        <v>21</v>
      </c>
    </row>
    <row r="90" spans="1:14" x14ac:dyDescent="0.25">
      <c r="A90" t="s">
        <v>209</v>
      </c>
      <c r="B90" s="1">
        <v>46216.181863425925</v>
      </c>
      <c r="C90" t="s">
        <v>210</v>
      </c>
      <c r="D90" t="s">
        <v>24</v>
      </c>
      <c r="E90" t="s">
        <v>18</v>
      </c>
      <c r="F90" t="s">
        <v>19</v>
      </c>
      <c r="G90">
        <v>1</v>
      </c>
      <c r="H90">
        <v>129.9</v>
      </c>
      <c r="I90">
        <v>40</v>
      </c>
      <c r="J90">
        <v>129.9</v>
      </c>
      <c r="K90">
        <v>40</v>
      </c>
      <c r="L90">
        <v>89.9</v>
      </c>
      <c r="M90" t="s">
        <v>30</v>
      </c>
      <c r="N90" t="s">
        <v>27</v>
      </c>
    </row>
    <row r="91" spans="1:14" x14ac:dyDescent="0.25">
      <c r="A91" t="s">
        <v>211</v>
      </c>
      <c r="B91" s="1">
        <v>46176.878240740742</v>
      </c>
      <c r="C91" t="s">
        <v>115</v>
      </c>
      <c r="D91" t="s">
        <v>57</v>
      </c>
      <c r="E91" t="s">
        <v>18</v>
      </c>
      <c r="F91" t="s">
        <v>135</v>
      </c>
      <c r="G91">
        <v>2</v>
      </c>
      <c r="H91">
        <v>89.9</v>
      </c>
      <c r="I91">
        <v>25</v>
      </c>
      <c r="J91">
        <v>179.8</v>
      </c>
      <c r="K91">
        <v>50</v>
      </c>
      <c r="L91">
        <v>129.80000000000001</v>
      </c>
      <c r="M91" t="s">
        <v>30</v>
      </c>
      <c r="N91" t="s">
        <v>21</v>
      </c>
    </row>
    <row r="92" spans="1:14" x14ac:dyDescent="0.25">
      <c r="A92" t="s">
        <v>212</v>
      </c>
      <c r="B92" s="1">
        <v>46271.124363425923</v>
      </c>
      <c r="C92" t="s">
        <v>213</v>
      </c>
      <c r="D92" t="s">
        <v>39</v>
      </c>
      <c r="E92" t="s">
        <v>50</v>
      </c>
      <c r="F92" t="s">
        <v>84</v>
      </c>
      <c r="G92">
        <v>1</v>
      </c>
      <c r="H92">
        <v>259.89999999999998</v>
      </c>
      <c r="I92">
        <v>82</v>
      </c>
      <c r="J92">
        <v>259.89999999999998</v>
      </c>
      <c r="K92">
        <v>82</v>
      </c>
      <c r="L92">
        <v>177.9</v>
      </c>
      <c r="M92" t="s">
        <v>43</v>
      </c>
      <c r="N92" t="s">
        <v>27</v>
      </c>
    </row>
    <row r="93" spans="1:14" x14ac:dyDescent="0.25">
      <c r="A93" t="s">
        <v>214</v>
      </c>
      <c r="B93" s="1">
        <v>46262.857465277775</v>
      </c>
      <c r="C93" t="s">
        <v>215</v>
      </c>
      <c r="D93" t="s">
        <v>1</v>
      </c>
      <c r="E93" t="s">
        <v>25</v>
      </c>
      <c r="F93" t="s">
        <v>47</v>
      </c>
      <c r="G93">
        <v>1</v>
      </c>
      <c r="H93">
        <v>159.9</v>
      </c>
      <c r="I93">
        <v>52</v>
      </c>
      <c r="J93">
        <v>159.9</v>
      </c>
      <c r="K93">
        <v>52</v>
      </c>
      <c r="L93">
        <v>107.9</v>
      </c>
      <c r="M93" t="s">
        <v>30</v>
      </c>
      <c r="N93" t="s">
        <v>21</v>
      </c>
    </row>
    <row r="94" spans="1:14" x14ac:dyDescent="0.25">
      <c r="A94" t="s">
        <v>216</v>
      </c>
      <c r="B94" s="1">
        <v>46179.309861111113</v>
      </c>
      <c r="C94" t="s">
        <v>217</v>
      </c>
      <c r="D94" t="s">
        <v>24</v>
      </c>
      <c r="E94" t="s">
        <v>50</v>
      </c>
      <c r="F94" t="s">
        <v>84</v>
      </c>
      <c r="G94">
        <v>2</v>
      </c>
      <c r="H94">
        <v>259.89999999999998</v>
      </c>
      <c r="I94">
        <v>82</v>
      </c>
      <c r="J94">
        <v>519.79999999999995</v>
      </c>
      <c r="K94">
        <v>164</v>
      </c>
      <c r="L94">
        <v>355.8</v>
      </c>
      <c r="M94" t="s">
        <v>20</v>
      </c>
      <c r="N94" t="s">
        <v>67</v>
      </c>
    </row>
    <row r="95" spans="1:14" x14ac:dyDescent="0.25">
      <c r="A95" t="s">
        <v>218</v>
      </c>
      <c r="B95" s="1">
        <v>46193.36209490741</v>
      </c>
      <c r="C95" t="s">
        <v>219</v>
      </c>
      <c r="D95" t="s">
        <v>1</v>
      </c>
      <c r="E95" t="s">
        <v>25</v>
      </c>
      <c r="F95" t="s">
        <v>33</v>
      </c>
      <c r="G95">
        <v>2</v>
      </c>
      <c r="H95">
        <v>169.9</v>
      </c>
      <c r="I95">
        <v>55</v>
      </c>
      <c r="J95">
        <v>339.8</v>
      </c>
      <c r="K95">
        <v>110</v>
      </c>
      <c r="L95">
        <v>229.8</v>
      </c>
      <c r="M95" t="s">
        <v>30</v>
      </c>
      <c r="N95" t="s">
        <v>67</v>
      </c>
    </row>
    <row r="96" spans="1:14" x14ac:dyDescent="0.25">
      <c r="A96" t="s">
        <v>220</v>
      </c>
      <c r="B96" s="1">
        <v>46146.979247685187</v>
      </c>
      <c r="C96" t="s">
        <v>221</v>
      </c>
      <c r="D96" t="s">
        <v>24</v>
      </c>
      <c r="E96" t="s">
        <v>18</v>
      </c>
      <c r="F96" t="s">
        <v>222</v>
      </c>
      <c r="G96">
        <v>1</v>
      </c>
      <c r="H96">
        <v>79.900000000000006</v>
      </c>
      <c r="I96">
        <v>22</v>
      </c>
      <c r="J96">
        <v>79.900000000000006</v>
      </c>
      <c r="K96">
        <v>22</v>
      </c>
      <c r="L96">
        <v>57.9</v>
      </c>
      <c r="M96" t="s">
        <v>43</v>
      </c>
      <c r="N96" t="s">
        <v>27</v>
      </c>
    </row>
    <row r="97" spans="1:14" x14ac:dyDescent="0.25">
      <c r="A97" t="s">
        <v>223</v>
      </c>
      <c r="B97" s="1">
        <v>46193.110046296293</v>
      </c>
      <c r="C97" t="s">
        <v>224</v>
      </c>
      <c r="D97" t="s">
        <v>165</v>
      </c>
      <c r="E97" t="s">
        <v>25</v>
      </c>
      <c r="F97" t="s">
        <v>33</v>
      </c>
      <c r="G97">
        <v>1</v>
      </c>
      <c r="H97">
        <v>169.9</v>
      </c>
      <c r="I97">
        <v>55</v>
      </c>
      <c r="J97">
        <v>169.9</v>
      </c>
      <c r="K97">
        <v>55</v>
      </c>
      <c r="L97">
        <v>114.9</v>
      </c>
      <c r="M97" t="s">
        <v>43</v>
      </c>
      <c r="N97" t="s">
        <v>27</v>
      </c>
    </row>
    <row r="98" spans="1:14" x14ac:dyDescent="0.25">
      <c r="A98" t="s">
        <v>225</v>
      </c>
      <c r="B98" s="1">
        <v>46272.854074074072</v>
      </c>
      <c r="C98" t="s">
        <v>186</v>
      </c>
      <c r="D98" t="s">
        <v>54</v>
      </c>
      <c r="E98" t="s">
        <v>50</v>
      </c>
      <c r="F98" t="s">
        <v>77</v>
      </c>
      <c r="G98">
        <v>1</v>
      </c>
      <c r="H98">
        <v>289.89999999999998</v>
      </c>
      <c r="I98">
        <v>95</v>
      </c>
      <c r="J98">
        <v>289.89999999999998</v>
      </c>
      <c r="K98">
        <v>95</v>
      </c>
      <c r="L98">
        <v>194.9</v>
      </c>
      <c r="M98" t="s">
        <v>20</v>
      </c>
      <c r="N98" t="s">
        <v>27</v>
      </c>
    </row>
    <row r="99" spans="1:14" x14ac:dyDescent="0.25">
      <c r="A99" t="s">
        <v>226</v>
      </c>
      <c r="B99" s="1">
        <v>46250.32335648148</v>
      </c>
      <c r="C99" t="s">
        <v>128</v>
      </c>
      <c r="D99" t="s">
        <v>62</v>
      </c>
      <c r="E99" t="s">
        <v>25</v>
      </c>
      <c r="F99" t="s">
        <v>47</v>
      </c>
      <c r="G99">
        <v>1</v>
      </c>
      <c r="H99">
        <v>159.9</v>
      </c>
      <c r="I99">
        <v>52</v>
      </c>
      <c r="J99">
        <v>159.9</v>
      </c>
      <c r="K99">
        <v>52</v>
      </c>
      <c r="L99">
        <v>107.9</v>
      </c>
      <c r="M99" t="s">
        <v>43</v>
      </c>
      <c r="N99" t="s">
        <v>44</v>
      </c>
    </row>
    <row r="100" spans="1:14" x14ac:dyDescent="0.25">
      <c r="A100" t="s">
        <v>227</v>
      </c>
      <c r="B100" s="1">
        <v>46146.529456018521</v>
      </c>
      <c r="C100" t="s">
        <v>228</v>
      </c>
      <c r="D100" t="s">
        <v>1</v>
      </c>
      <c r="E100" t="s">
        <v>50</v>
      </c>
      <c r="F100" t="s">
        <v>77</v>
      </c>
      <c r="G100">
        <v>1</v>
      </c>
      <c r="H100">
        <v>289.89999999999998</v>
      </c>
      <c r="I100">
        <v>95</v>
      </c>
      <c r="J100">
        <v>289.89999999999998</v>
      </c>
      <c r="K100">
        <v>95</v>
      </c>
      <c r="L100">
        <v>194.9</v>
      </c>
      <c r="M100" t="s">
        <v>30</v>
      </c>
      <c r="N100" t="s">
        <v>27</v>
      </c>
    </row>
    <row r="101" spans="1:14" x14ac:dyDescent="0.25">
      <c r="A101" t="s">
        <v>229</v>
      </c>
      <c r="B101" s="1">
        <v>46175.560578703706</v>
      </c>
      <c r="C101" t="s">
        <v>230</v>
      </c>
      <c r="D101" t="s">
        <v>1</v>
      </c>
      <c r="E101" t="s">
        <v>50</v>
      </c>
      <c r="F101" t="s">
        <v>77</v>
      </c>
      <c r="G101">
        <v>1</v>
      </c>
      <c r="H101">
        <v>289.89999999999998</v>
      </c>
      <c r="I101">
        <v>95</v>
      </c>
      <c r="J101">
        <v>289.89999999999998</v>
      </c>
      <c r="K101">
        <v>95</v>
      </c>
      <c r="L101">
        <v>194.9</v>
      </c>
      <c r="M101" t="s">
        <v>43</v>
      </c>
      <c r="N101" t="s">
        <v>44</v>
      </c>
    </row>
    <row r="102" spans="1:14" x14ac:dyDescent="0.25">
      <c r="A102" t="s">
        <v>231</v>
      </c>
      <c r="B102" s="1">
        <v>46225.824074074073</v>
      </c>
      <c r="C102" t="s">
        <v>75</v>
      </c>
      <c r="D102" t="s">
        <v>54</v>
      </c>
      <c r="E102" t="s">
        <v>50</v>
      </c>
      <c r="F102" t="s">
        <v>51</v>
      </c>
      <c r="G102">
        <v>1</v>
      </c>
      <c r="H102">
        <v>319.89999999999998</v>
      </c>
      <c r="I102">
        <v>105</v>
      </c>
      <c r="J102">
        <v>319.89999999999998</v>
      </c>
      <c r="K102">
        <v>105</v>
      </c>
      <c r="L102">
        <v>214.9</v>
      </c>
      <c r="M102" t="s">
        <v>20</v>
      </c>
      <c r="N102" t="s">
        <v>27</v>
      </c>
    </row>
    <row r="103" spans="1:14" x14ac:dyDescent="0.25">
      <c r="A103" t="s">
        <v>232</v>
      </c>
      <c r="B103" s="1">
        <v>46269.992094907408</v>
      </c>
      <c r="C103" t="s">
        <v>147</v>
      </c>
      <c r="D103" t="s">
        <v>24</v>
      </c>
      <c r="E103" t="s">
        <v>18</v>
      </c>
      <c r="F103" t="s">
        <v>135</v>
      </c>
      <c r="G103">
        <v>2</v>
      </c>
      <c r="H103">
        <v>89.9</v>
      </c>
      <c r="I103">
        <v>25</v>
      </c>
      <c r="J103">
        <v>179.8</v>
      </c>
      <c r="K103">
        <v>50</v>
      </c>
      <c r="L103">
        <v>129.80000000000001</v>
      </c>
      <c r="M103" t="s">
        <v>43</v>
      </c>
      <c r="N103" t="s">
        <v>67</v>
      </c>
    </row>
    <row r="104" spans="1:14" x14ac:dyDescent="0.25">
      <c r="A104" t="s">
        <v>233</v>
      </c>
      <c r="B104" s="1">
        <v>46283.84134259259</v>
      </c>
      <c r="C104" t="s">
        <v>221</v>
      </c>
      <c r="D104" t="s">
        <v>36</v>
      </c>
      <c r="E104" t="s">
        <v>25</v>
      </c>
      <c r="F104" t="s">
        <v>40</v>
      </c>
      <c r="G104">
        <v>3</v>
      </c>
      <c r="H104">
        <v>139.9</v>
      </c>
      <c r="I104">
        <v>45</v>
      </c>
      <c r="J104">
        <v>419.7</v>
      </c>
      <c r="K104">
        <v>135</v>
      </c>
      <c r="L104">
        <v>284.7</v>
      </c>
      <c r="M104" t="s">
        <v>20</v>
      </c>
      <c r="N104" t="s">
        <v>21</v>
      </c>
    </row>
    <row r="105" spans="1:14" x14ac:dyDescent="0.25">
      <c r="A105" t="s">
        <v>234</v>
      </c>
      <c r="B105" s="1">
        <v>46147.401203703703</v>
      </c>
      <c r="C105" t="s">
        <v>235</v>
      </c>
      <c r="D105" t="s">
        <v>24</v>
      </c>
      <c r="E105" t="s">
        <v>25</v>
      </c>
      <c r="F105" t="s">
        <v>40</v>
      </c>
      <c r="G105">
        <v>2</v>
      </c>
      <c r="H105">
        <v>139.9</v>
      </c>
      <c r="I105">
        <v>45</v>
      </c>
      <c r="J105">
        <v>279.8</v>
      </c>
      <c r="K105">
        <v>90</v>
      </c>
      <c r="L105">
        <v>189.8</v>
      </c>
      <c r="M105" t="s">
        <v>43</v>
      </c>
      <c r="N105" t="s">
        <v>27</v>
      </c>
    </row>
    <row r="106" spans="1:14" x14ac:dyDescent="0.25">
      <c r="A106" t="s">
        <v>236</v>
      </c>
      <c r="B106" s="1">
        <v>46303.839259259257</v>
      </c>
      <c r="C106" t="s">
        <v>53</v>
      </c>
      <c r="D106" t="s">
        <v>36</v>
      </c>
      <c r="E106" t="s">
        <v>25</v>
      </c>
      <c r="F106" t="s">
        <v>47</v>
      </c>
      <c r="G106">
        <v>3</v>
      </c>
      <c r="H106">
        <v>159.9</v>
      </c>
      <c r="I106">
        <v>52</v>
      </c>
      <c r="J106">
        <v>479.7</v>
      </c>
      <c r="K106">
        <v>156</v>
      </c>
      <c r="L106">
        <v>323.7</v>
      </c>
      <c r="M106" t="s">
        <v>20</v>
      </c>
      <c r="N106" t="s">
        <v>27</v>
      </c>
    </row>
    <row r="107" spans="1:14" x14ac:dyDescent="0.25">
      <c r="A107" t="s">
        <v>237</v>
      </c>
      <c r="B107" s="1">
        <v>46185.917546296296</v>
      </c>
      <c r="C107" t="s">
        <v>238</v>
      </c>
      <c r="D107" t="s">
        <v>1</v>
      </c>
      <c r="E107" t="s">
        <v>25</v>
      </c>
      <c r="F107" t="s">
        <v>47</v>
      </c>
      <c r="G107">
        <v>1</v>
      </c>
      <c r="H107">
        <v>159.9</v>
      </c>
      <c r="I107">
        <v>52</v>
      </c>
      <c r="J107">
        <v>159.9</v>
      </c>
      <c r="K107">
        <v>52</v>
      </c>
      <c r="L107">
        <v>107.9</v>
      </c>
      <c r="M107" t="s">
        <v>30</v>
      </c>
      <c r="N107" t="s">
        <v>27</v>
      </c>
    </row>
    <row r="108" spans="1:14" x14ac:dyDescent="0.25">
      <c r="A108" t="s">
        <v>239</v>
      </c>
      <c r="B108" s="1">
        <v>46165.962152777778</v>
      </c>
      <c r="C108" t="s">
        <v>240</v>
      </c>
      <c r="D108" t="s">
        <v>39</v>
      </c>
      <c r="E108" t="s">
        <v>18</v>
      </c>
      <c r="F108" t="s">
        <v>222</v>
      </c>
      <c r="G108">
        <v>4</v>
      </c>
      <c r="H108">
        <v>79.900000000000006</v>
      </c>
      <c r="I108">
        <v>22</v>
      </c>
      <c r="J108">
        <v>319.60000000000002</v>
      </c>
      <c r="K108">
        <v>88</v>
      </c>
      <c r="L108">
        <v>231.6</v>
      </c>
      <c r="M108" t="s">
        <v>20</v>
      </c>
      <c r="N108" t="s">
        <v>27</v>
      </c>
    </row>
    <row r="109" spans="1:14" x14ac:dyDescent="0.25">
      <c r="A109" t="s">
        <v>241</v>
      </c>
      <c r="B109" s="1">
        <v>46242.741111111114</v>
      </c>
      <c r="C109" t="s">
        <v>242</v>
      </c>
      <c r="D109" t="s">
        <v>57</v>
      </c>
      <c r="E109" t="s">
        <v>58</v>
      </c>
      <c r="F109" t="s">
        <v>59</v>
      </c>
      <c r="G109">
        <v>1</v>
      </c>
      <c r="H109">
        <v>249.9</v>
      </c>
      <c r="I109">
        <v>80</v>
      </c>
      <c r="J109">
        <v>249.9</v>
      </c>
      <c r="K109">
        <v>80</v>
      </c>
      <c r="L109">
        <v>169.9</v>
      </c>
      <c r="M109" t="s">
        <v>30</v>
      </c>
      <c r="N109" t="s">
        <v>21</v>
      </c>
    </row>
    <row r="110" spans="1:14" x14ac:dyDescent="0.25">
      <c r="A110" t="s">
        <v>243</v>
      </c>
      <c r="B110" s="1">
        <v>46136.962222222224</v>
      </c>
      <c r="C110" t="s">
        <v>174</v>
      </c>
      <c r="D110" t="s">
        <v>57</v>
      </c>
      <c r="E110" t="s">
        <v>50</v>
      </c>
      <c r="F110" t="s">
        <v>51</v>
      </c>
      <c r="G110">
        <v>1</v>
      </c>
      <c r="H110">
        <v>319.89999999999998</v>
      </c>
      <c r="I110">
        <v>105</v>
      </c>
      <c r="J110">
        <v>319.89999999999998</v>
      </c>
      <c r="K110">
        <v>105</v>
      </c>
      <c r="L110">
        <v>214.9</v>
      </c>
      <c r="M110" t="s">
        <v>20</v>
      </c>
      <c r="N110" t="s">
        <v>27</v>
      </c>
    </row>
    <row r="111" spans="1:14" x14ac:dyDescent="0.25">
      <c r="A111" t="s">
        <v>244</v>
      </c>
      <c r="B111" s="1">
        <v>46124.005370370367</v>
      </c>
      <c r="C111" t="s">
        <v>245</v>
      </c>
      <c r="D111" t="s">
        <v>1</v>
      </c>
      <c r="E111" t="s">
        <v>25</v>
      </c>
      <c r="F111" t="s">
        <v>26</v>
      </c>
      <c r="G111">
        <v>2</v>
      </c>
      <c r="H111">
        <v>139.9</v>
      </c>
      <c r="I111">
        <v>45</v>
      </c>
      <c r="J111">
        <v>279.8</v>
      </c>
      <c r="K111">
        <v>90</v>
      </c>
      <c r="L111">
        <v>189.8</v>
      </c>
      <c r="M111" t="s">
        <v>20</v>
      </c>
      <c r="N111" t="s">
        <v>27</v>
      </c>
    </row>
    <row r="112" spans="1:14" x14ac:dyDescent="0.25">
      <c r="A112" t="s">
        <v>246</v>
      </c>
      <c r="B112" s="1">
        <v>46276.39739583333</v>
      </c>
      <c r="C112" t="s">
        <v>247</v>
      </c>
      <c r="D112" t="s">
        <v>36</v>
      </c>
      <c r="E112" t="s">
        <v>58</v>
      </c>
      <c r="F112" t="s">
        <v>95</v>
      </c>
      <c r="G112">
        <v>1</v>
      </c>
      <c r="H112">
        <v>279.89999999999998</v>
      </c>
      <c r="I112">
        <v>90</v>
      </c>
      <c r="J112">
        <v>279.89999999999998</v>
      </c>
      <c r="K112">
        <v>90</v>
      </c>
      <c r="L112">
        <v>189.9</v>
      </c>
      <c r="M112" t="s">
        <v>20</v>
      </c>
      <c r="N112" t="s">
        <v>27</v>
      </c>
    </row>
    <row r="113" spans="1:14" x14ac:dyDescent="0.25">
      <c r="A113" t="s">
        <v>248</v>
      </c>
      <c r="B113" s="1">
        <v>46226.836909722224</v>
      </c>
      <c r="C113" t="s">
        <v>75</v>
      </c>
      <c r="D113" t="s">
        <v>1</v>
      </c>
      <c r="E113" t="s">
        <v>25</v>
      </c>
      <c r="F113" t="s">
        <v>33</v>
      </c>
      <c r="G113">
        <v>1</v>
      </c>
      <c r="H113">
        <v>169.9</v>
      </c>
      <c r="I113">
        <v>55</v>
      </c>
      <c r="J113">
        <v>169.9</v>
      </c>
      <c r="K113">
        <v>55</v>
      </c>
      <c r="L113">
        <v>114.9</v>
      </c>
      <c r="M113" t="s">
        <v>20</v>
      </c>
      <c r="N113" t="s">
        <v>27</v>
      </c>
    </row>
    <row r="114" spans="1:14" x14ac:dyDescent="0.25">
      <c r="A114" t="s">
        <v>249</v>
      </c>
      <c r="B114" s="1">
        <v>46256.014664351853</v>
      </c>
      <c r="C114" t="s">
        <v>250</v>
      </c>
      <c r="D114" t="s">
        <v>72</v>
      </c>
      <c r="E114" t="s">
        <v>25</v>
      </c>
      <c r="F114" t="s">
        <v>40</v>
      </c>
      <c r="G114">
        <v>1</v>
      </c>
      <c r="H114">
        <v>139.9</v>
      </c>
      <c r="I114">
        <v>45</v>
      </c>
      <c r="J114">
        <v>139.9</v>
      </c>
      <c r="K114">
        <v>45</v>
      </c>
      <c r="L114">
        <v>94.9</v>
      </c>
      <c r="M114" t="s">
        <v>30</v>
      </c>
      <c r="N114" t="s">
        <v>27</v>
      </c>
    </row>
    <row r="115" spans="1:14" x14ac:dyDescent="0.25">
      <c r="A115" t="s">
        <v>251</v>
      </c>
      <c r="B115" s="1">
        <v>46289.226111111115</v>
      </c>
      <c r="C115" t="s">
        <v>252</v>
      </c>
      <c r="D115" t="s">
        <v>36</v>
      </c>
      <c r="E115" t="s">
        <v>25</v>
      </c>
      <c r="F115" t="s">
        <v>40</v>
      </c>
      <c r="G115">
        <v>1</v>
      </c>
      <c r="H115">
        <v>139.9</v>
      </c>
      <c r="I115">
        <v>45</v>
      </c>
      <c r="J115">
        <v>139.9</v>
      </c>
      <c r="K115">
        <v>45</v>
      </c>
      <c r="L115">
        <v>94.9</v>
      </c>
      <c r="M115" t="s">
        <v>43</v>
      </c>
      <c r="N115" t="s">
        <v>27</v>
      </c>
    </row>
    <row r="116" spans="1:14" x14ac:dyDescent="0.25">
      <c r="A116" t="s">
        <v>253</v>
      </c>
      <c r="B116" s="1">
        <v>46207.883680555555</v>
      </c>
      <c r="C116" t="s">
        <v>69</v>
      </c>
      <c r="D116" t="s">
        <v>36</v>
      </c>
      <c r="E116" t="s">
        <v>58</v>
      </c>
      <c r="F116" t="s">
        <v>59</v>
      </c>
      <c r="G116">
        <v>1</v>
      </c>
      <c r="H116">
        <v>249.9</v>
      </c>
      <c r="I116">
        <v>80</v>
      </c>
      <c r="J116">
        <v>249.9</v>
      </c>
      <c r="K116">
        <v>80</v>
      </c>
      <c r="L116">
        <v>169.9</v>
      </c>
      <c r="M116" t="s">
        <v>20</v>
      </c>
      <c r="N116" t="s">
        <v>27</v>
      </c>
    </row>
    <row r="117" spans="1:14" x14ac:dyDescent="0.25">
      <c r="A117" t="s">
        <v>254</v>
      </c>
      <c r="B117" s="1">
        <v>46223.193333333336</v>
      </c>
      <c r="C117" t="s">
        <v>255</v>
      </c>
      <c r="D117" t="s">
        <v>57</v>
      </c>
      <c r="E117" t="s">
        <v>25</v>
      </c>
      <c r="F117" t="s">
        <v>47</v>
      </c>
      <c r="G117">
        <v>3</v>
      </c>
      <c r="H117">
        <v>159.9</v>
      </c>
      <c r="I117">
        <v>52</v>
      </c>
      <c r="J117">
        <v>479.7</v>
      </c>
      <c r="K117">
        <v>156</v>
      </c>
      <c r="L117">
        <v>323.7</v>
      </c>
      <c r="M117" t="s">
        <v>30</v>
      </c>
      <c r="N117" t="s">
        <v>21</v>
      </c>
    </row>
    <row r="118" spans="1:14" x14ac:dyDescent="0.25">
      <c r="A118" t="s">
        <v>256</v>
      </c>
      <c r="B118" s="1">
        <v>46206.060520833336</v>
      </c>
      <c r="C118" t="s">
        <v>257</v>
      </c>
      <c r="D118" t="s">
        <v>1</v>
      </c>
      <c r="E118" t="s">
        <v>18</v>
      </c>
      <c r="F118" t="s">
        <v>222</v>
      </c>
      <c r="G118">
        <v>1</v>
      </c>
      <c r="H118">
        <v>79.900000000000006</v>
      </c>
      <c r="I118">
        <v>22</v>
      </c>
      <c r="J118">
        <v>79.900000000000006</v>
      </c>
      <c r="K118">
        <v>22</v>
      </c>
      <c r="L118">
        <v>57.9</v>
      </c>
      <c r="M118" t="s">
        <v>30</v>
      </c>
      <c r="N118" t="s">
        <v>27</v>
      </c>
    </row>
    <row r="119" spans="1:14" x14ac:dyDescent="0.25">
      <c r="A119" t="s">
        <v>258</v>
      </c>
      <c r="B119" s="1">
        <v>46166.378541666665</v>
      </c>
      <c r="C119" t="s">
        <v>259</v>
      </c>
      <c r="D119" t="s">
        <v>24</v>
      </c>
      <c r="E119" t="s">
        <v>25</v>
      </c>
      <c r="F119" t="s">
        <v>40</v>
      </c>
      <c r="G119">
        <v>1</v>
      </c>
      <c r="H119">
        <v>139.9</v>
      </c>
      <c r="I119">
        <v>45</v>
      </c>
      <c r="J119">
        <v>139.9</v>
      </c>
      <c r="K119">
        <v>45</v>
      </c>
      <c r="L119">
        <v>94.9</v>
      </c>
      <c r="M119" t="s">
        <v>30</v>
      </c>
      <c r="N119" t="s">
        <v>21</v>
      </c>
    </row>
    <row r="120" spans="1:14" x14ac:dyDescent="0.25">
      <c r="A120" t="s">
        <v>260</v>
      </c>
      <c r="B120" s="1">
        <v>46203.849363425928</v>
      </c>
      <c r="C120" t="s">
        <v>71</v>
      </c>
      <c r="D120" t="s">
        <v>24</v>
      </c>
      <c r="E120" t="s">
        <v>50</v>
      </c>
      <c r="F120" t="s">
        <v>51</v>
      </c>
      <c r="G120">
        <v>1</v>
      </c>
      <c r="H120">
        <v>319.89999999999998</v>
      </c>
      <c r="I120">
        <v>105</v>
      </c>
      <c r="J120">
        <v>319.89999999999998</v>
      </c>
      <c r="K120">
        <v>105</v>
      </c>
      <c r="L120">
        <v>214.9</v>
      </c>
      <c r="M120" t="s">
        <v>30</v>
      </c>
      <c r="N120" t="s">
        <v>27</v>
      </c>
    </row>
    <row r="121" spans="1:14" x14ac:dyDescent="0.25">
      <c r="A121" t="s">
        <v>261</v>
      </c>
      <c r="B121" s="1">
        <v>46271.234456018516</v>
      </c>
      <c r="C121" t="s">
        <v>262</v>
      </c>
      <c r="D121" t="s">
        <v>1</v>
      </c>
      <c r="E121" t="s">
        <v>50</v>
      </c>
      <c r="F121" t="s">
        <v>77</v>
      </c>
      <c r="G121">
        <v>1</v>
      </c>
      <c r="H121">
        <v>289.89999999999998</v>
      </c>
      <c r="I121">
        <v>95</v>
      </c>
      <c r="J121">
        <v>289.89999999999998</v>
      </c>
      <c r="K121">
        <v>95</v>
      </c>
      <c r="L121">
        <v>194.9</v>
      </c>
      <c r="M121" t="s">
        <v>30</v>
      </c>
      <c r="N121" t="s">
        <v>21</v>
      </c>
    </row>
    <row r="122" spans="1:14" x14ac:dyDescent="0.25">
      <c r="A122" t="s">
        <v>263</v>
      </c>
      <c r="B122" s="1">
        <v>46154.268587962964</v>
      </c>
      <c r="C122" t="s">
        <v>228</v>
      </c>
      <c r="D122" t="s">
        <v>24</v>
      </c>
      <c r="E122" t="s">
        <v>25</v>
      </c>
      <c r="F122" t="s">
        <v>33</v>
      </c>
      <c r="G122">
        <v>1</v>
      </c>
      <c r="H122">
        <v>169.9</v>
      </c>
      <c r="I122">
        <v>55</v>
      </c>
      <c r="J122">
        <v>169.9</v>
      </c>
      <c r="K122">
        <v>55</v>
      </c>
      <c r="L122">
        <v>114.9</v>
      </c>
      <c r="M122" t="s">
        <v>30</v>
      </c>
      <c r="N122" t="s">
        <v>21</v>
      </c>
    </row>
    <row r="123" spans="1:14" x14ac:dyDescent="0.25">
      <c r="A123" t="s">
        <v>264</v>
      </c>
      <c r="B123" s="1">
        <v>46119.272094907406</v>
      </c>
      <c r="C123" t="s">
        <v>265</v>
      </c>
      <c r="D123" t="s">
        <v>1</v>
      </c>
      <c r="E123" t="s">
        <v>25</v>
      </c>
      <c r="F123" t="s">
        <v>47</v>
      </c>
      <c r="G123">
        <v>1</v>
      </c>
      <c r="H123">
        <v>159.9</v>
      </c>
      <c r="I123">
        <v>52</v>
      </c>
      <c r="J123">
        <v>159.9</v>
      </c>
      <c r="K123">
        <v>52</v>
      </c>
      <c r="L123">
        <v>107.9</v>
      </c>
      <c r="M123" t="s">
        <v>20</v>
      </c>
      <c r="N123" t="s">
        <v>27</v>
      </c>
    </row>
    <row r="124" spans="1:14" x14ac:dyDescent="0.25">
      <c r="A124" t="s">
        <v>266</v>
      </c>
      <c r="B124" s="1">
        <v>46313.624583333331</v>
      </c>
      <c r="C124" t="s">
        <v>267</v>
      </c>
      <c r="D124" t="s">
        <v>24</v>
      </c>
      <c r="E124" t="s">
        <v>58</v>
      </c>
      <c r="F124" t="s">
        <v>95</v>
      </c>
      <c r="G124">
        <v>1</v>
      </c>
      <c r="H124">
        <v>279.89999999999998</v>
      </c>
      <c r="I124">
        <v>90</v>
      </c>
      <c r="J124">
        <v>279.89999999999998</v>
      </c>
      <c r="K124">
        <v>90</v>
      </c>
      <c r="L124">
        <v>189.9</v>
      </c>
      <c r="M124" t="s">
        <v>30</v>
      </c>
      <c r="N124" t="s">
        <v>27</v>
      </c>
    </row>
    <row r="125" spans="1:14" x14ac:dyDescent="0.25">
      <c r="A125" t="s">
        <v>268</v>
      </c>
      <c r="B125" s="1">
        <v>46301.376469907409</v>
      </c>
      <c r="C125" t="s">
        <v>99</v>
      </c>
      <c r="D125" t="s">
        <v>62</v>
      </c>
      <c r="E125" t="s">
        <v>25</v>
      </c>
      <c r="F125" t="s">
        <v>26</v>
      </c>
      <c r="G125">
        <v>1</v>
      </c>
      <c r="H125">
        <v>139.9</v>
      </c>
      <c r="I125">
        <v>45</v>
      </c>
      <c r="J125">
        <v>139.9</v>
      </c>
      <c r="K125">
        <v>45</v>
      </c>
      <c r="L125">
        <v>94.9</v>
      </c>
      <c r="M125" t="s">
        <v>20</v>
      </c>
      <c r="N125" t="s">
        <v>27</v>
      </c>
    </row>
    <row r="126" spans="1:14" x14ac:dyDescent="0.25">
      <c r="A126" t="s">
        <v>269</v>
      </c>
      <c r="B126" s="1">
        <v>46314.163981481484</v>
      </c>
      <c r="C126" t="s">
        <v>92</v>
      </c>
      <c r="D126" t="s">
        <v>24</v>
      </c>
      <c r="E126" t="s">
        <v>25</v>
      </c>
      <c r="F126" t="s">
        <v>40</v>
      </c>
      <c r="G126">
        <v>1</v>
      </c>
      <c r="H126">
        <v>139.9</v>
      </c>
      <c r="I126">
        <v>45</v>
      </c>
      <c r="J126">
        <v>139.9</v>
      </c>
      <c r="K126">
        <v>45</v>
      </c>
      <c r="L126">
        <v>94.9</v>
      </c>
      <c r="M126" t="s">
        <v>30</v>
      </c>
      <c r="N126" t="s">
        <v>27</v>
      </c>
    </row>
    <row r="127" spans="1:14" x14ac:dyDescent="0.25">
      <c r="A127" t="s">
        <v>270</v>
      </c>
      <c r="B127" s="1">
        <v>46233.337430555555</v>
      </c>
      <c r="C127" t="s">
        <v>271</v>
      </c>
      <c r="D127" t="s">
        <v>1</v>
      </c>
      <c r="E127" t="s">
        <v>50</v>
      </c>
      <c r="F127" t="s">
        <v>51</v>
      </c>
      <c r="G127">
        <v>2</v>
      </c>
      <c r="H127">
        <v>319.89999999999998</v>
      </c>
      <c r="I127">
        <v>105</v>
      </c>
      <c r="J127">
        <v>639.79999999999995</v>
      </c>
      <c r="K127">
        <v>210</v>
      </c>
      <c r="L127">
        <v>429.8</v>
      </c>
      <c r="M127" t="s">
        <v>30</v>
      </c>
      <c r="N127" t="s">
        <v>21</v>
      </c>
    </row>
    <row r="128" spans="1:14" x14ac:dyDescent="0.25">
      <c r="A128" t="s">
        <v>272</v>
      </c>
      <c r="B128" s="1">
        <v>46202.46297453704</v>
      </c>
      <c r="C128" t="s">
        <v>273</v>
      </c>
      <c r="D128" t="s">
        <v>72</v>
      </c>
      <c r="E128" t="s">
        <v>58</v>
      </c>
      <c r="F128" t="s">
        <v>59</v>
      </c>
      <c r="G128">
        <v>1</v>
      </c>
      <c r="H128">
        <v>249.9</v>
      </c>
      <c r="I128">
        <v>80</v>
      </c>
      <c r="J128">
        <v>249.9</v>
      </c>
      <c r="K128">
        <v>80</v>
      </c>
      <c r="L128">
        <v>169.9</v>
      </c>
      <c r="M128" t="s">
        <v>20</v>
      </c>
      <c r="N128" t="s">
        <v>21</v>
      </c>
    </row>
    <row r="129" spans="1:14" x14ac:dyDescent="0.25">
      <c r="A129" t="s">
        <v>274</v>
      </c>
      <c r="B129" s="1">
        <v>46170.035891203705</v>
      </c>
      <c r="C129" t="s">
        <v>275</v>
      </c>
      <c r="D129" t="s">
        <v>1</v>
      </c>
      <c r="E129" t="s">
        <v>50</v>
      </c>
      <c r="F129" t="s">
        <v>77</v>
      </c>
      <c r="G129">
        <v>1</v>
      </c>
      <c r="H129">
        <v>289.89999999999998</v>
      </c>
      <c r="I129">
        <v>95</v>
      </c>
      <c r="J129">
        <v>289.89999999999998</v>
      </c>
      <c r="K129">
        <v>95</v>
      </c>
      <c r="L129">
        <v>194.9</v>
      </c>
      <c r="M129" t="s">
        <v>30</v>
      </c>
      <c r="N129" t="s">
        <v>27</v>
      </c>
    </row>
    <row r="130" spans="1:14" x14ac:dyDescent="0.25">
      <c r="A130" t="s">
        <v>276</v>
      </c>
      <c r="B130" s="1">
        <v>46215.497974537036</v>
      </c>
      <c r="C130" t="s">
        <v>277</v>
      </c>
      <c r="D130" t="s">
        <v>24</v>
      </c>
      <c r="E130" t="s">
        <v>25</v>
      </c>
      <c r="F130" t="s">
        <v>40</v>
      </c>
      <c r="G130">
        <v>1</v>
      </c>
      <c r="H130">
        <v>139.9</v>
      </c>
      <c r="I130">
        <v>45</v>
      </c>
      <c r="J130">
        <v>139.9</v>
      </c>
      <c r="K130">
        <v>45</v>
      </c>
      <c r="L130">
        <v>94.9</v>
      </c>
      <c r="M130" t="s">
        <v>30</v>
      </c>
      <c r="N130" t="s">
        <v>21</v>
      </c>
    </row>
    <row r="131" spans="1:14" x14ac:dyDescent="0.25">
      <c r="A131" t="s">
        <v>278</v>
      </c>
      <c r="B131" s="1">
        <v>46310.423437500001</v>
      </c>
      <c r="C131" t="s">
        <v>279</v>
      </c>
      <c r="D131" t="s">
        <v>62</v>
      </c>
      <c r="E131" t="s">
        <v>50</v>
      </c>
      <c r="F131" t="s">
        <v>84</v>
      </c>
      <c r="G131">
        <v>2</v>
      </c>
      <c r="H131">
        <v>259.89999999999998</v>
      </c>
      <c r="I131">
        <v>82</v>
      </c>
      <c r="J131">
        <v>519.79999999999995</v>
      </c>
      <c r="K131">
        <v>164</v>
      </c>
      <c r="L131">
        <v>355.8</v>
      </c>
      <c r="M131" t="s">
        <v>20</v>
      </c>
      <c r="N131" t="s">
        <v>27</v>
      </c>
    </row>
    <row r="132" spans="1:14" x14ac:dyDescent="0.25">
      <c r="A132" t="s">
        <v>280</v>
      </c>
      <c r="B132" s="1">
        <v>46243.606319444443</v>
      </c>
      <c r="C132" t="s">
        <v>29</v>
      </c>
      <c r="D132" t="s">
        <v>24</v>
      </c>
      <c r="E132" t="s">
        <v>50</v>
      </c>
      <c r="F132" t="s">
        <v>84</v>
      </c>
      <c r="G132">
        <v>1</v>
      </c>
      <c r="H132">
        <v>259.89999999999998</v>
      </c>
      <c r="I132">
        <v>82</v>
      </c>
      <c r="J132">
        <v>259.89999999999998</v>
      </c>
      <c r="K132">
        <v>82</v>
      </c>
      <c r="L132">
        <v>177.9</v>
      </c>
      <c r="M132" t="s">
        <v>20</v>
      </c>
      <c r="N132" t="s">
        <v>27</v>
      </c>
    </row>
    <row r="133" spans="1:14" x14ac:dyDescent="0.25">
      <c r="A133" t="s">
        <v>281</v>
      </c>
      <c r="B133" s="1">
        <v>46197.041863425926</v>
      </c>
      <c r="C133" t="s">
        <v>235</v>
      </c>
      <c r="D133" t="s">
        <v>24</v>
      </c>
      <c r="E133" t="s">
        <v>25</v>
      </c>
      <c r="F133" t="s">
        <v>47</v>
      </c>
      <c r="G133">
        <v>1</v>
      </c>
      <c r="H133">
        <v>159.9</v>
      </c>
      <c r="I133">
        <v>52</v>
      </c>
      <c r="J133">
        <v>159.9</v>
      </c>
      <c r="K133">
        <v>52</v>
      </c>
      <c r="L133">
        <v>107.9</v>
      </c>
      <c r="M133" t="s">
        <v>20</v>
      </c>
      <c r="N133" t="s">
        <v>27</v>
      </c>
    </row>
    <row r="134" spans="1:14" x14ac:dyDescent="0.25">
      <c r="A134" t="s">
        <v>282</v>
      </c>
      <c r="B134" s="1">
        <v>46158.88077546296</v>
      </c>
      <c r="C134" t="s">
        <v>283</v>
      </c>
      <c r="D134" t="s">
        <v>1</v>
      </c>
      <c r="E134" t="s">
        <v>18</v>
      </c>
      <c r="F134" t="s">
        <v>222</v>
      </c>
      <c r="G134">
        <v>1</v>
      </c>
      <c r="H134">
        <v>79.900000000000006</v>
      </c>
      <c r="I134">
        <v>22</v>
      </c>
      <c r="J134">
        <v>79.900000000000006</v>
      </c>
      <c r="K134">
        <v>22</v>
      </c>
      <c r="L134">
        <v>57.9</v>
      </c>
      <c r="M134" t="s">
        <v>30</v>
      </c>
      <c r="N134" t="s">
        <v>21</v>
      </c>
    </row>
    <row r="135" spans="1:14" x14ac:dyDescent="0.25">
      <c r="A135" t="s">
        <v>284</v>
      </c>
      <c r="B135" s="1">
        <v>46122.164444444446</v>
      </c>
      <c r="C135" t="s">
        <v>115</v>
      </c>
      <c r="D135" t="s">
        <v>24</v>
      </c>
      <c r="E135" t="s">
        <v>25</v>
      </c>
      <c r="F135" t="s">
        <v>33</v>
      </c>
      <c r="G135">
        <v>1</v>
      </c>
      <c r="H135">
        <v>169.9</v>
      </c>
      <c r="I135">
        <v>55</v>
      </c>
      <c r="J135">
        <v>169.9</v>
      </c>
      <c r="K135">
        <v>55</v>
      </c>
      <c r="L135">
        <v>114.9</v>
      </c>
      <c r="M135" t="s">
        <v>30</v>
      </c>
      <c r="N135" t="s">
        <v>21</v>
      </c>
    </row>
    <row r="136" spans="1:14" x14ac:dyDescent="0.25">
      <c r="A136" t="s">
        <v>285</v>
      </c>
      <c r="B136" s="1">
        <v>46201.475856481484</v>
      </c>
      <c r="C136" t="s">
        <v>286</v>
      </c>
      <c r="D136" t="s">
        <v>24</v>
      </c>
      <c r="E136" t="s">
        <v>58</v>
      </c>
      <c r="F136" t="s">
        <v>95</v>
      </c>
      <c r="G136">
        <v>1</v>
      </c>
      <c r="H136">
        <v>279.89999999999998</v>
      </c>
      <c r="I136">
        <v>90</v>
      </c>
      <c r="J136">
        <v>279.89999999999998</v>
      </c>
      <c r="K136">
        <v>90</v>
      </c>
      <c r="L136">
        <v>189.9</v>
      </c>
      <c r="M136" t="s">
        <v>20</v>
      </c>
      <c r="N136" t="s">
        <v>27</v>
      </c>
    </row>
    <row r="137" spans="1:14" x14ac:dyDescent="0.25">
      <c r="A137" t="s">
        <v>287</v>
      </c>
      <c r="B137" s="1">
        <v>46243.175428240742</v>
      </c>
      <c r="C137" t="s">
        <v>288</v>
      </c>
      <c r="D137" t="s">
        <v>165</v>
      </c>
      <c r="E137" t="s">
        <v>25</v>
      </c>
      <c r="F137" t="s">
        <v>26</v>
      </c>
      <c r="G137">
        <v>1</v>
      </c>
      <c r="H137">
        <v>139.9</v>
      </c>
      <c r="I137">
        <v>45</v>
      </c>
      <c r="J137">
        <v>139.9</v>
      </c>
      <c r="K137">
        <v>45</v>
      </c>
      <c r="L137">
        <v>94.9</v>
      </c>
      <c r="M137" t="s">
        <v>43</v>
      </c>
      <c r="N137" t="s">
        <v>44</v>
      </c>
    </row>
    <row r="138" spans="1:14" x14ac:dyDescent="0.25">
      <c r="A138" t="s">
        <v>289</v>
      </c>
      <c r="B138" s="1">
        <v>46178.067326388889</v>
      </c>
      <c r="C138" t="s">
        <v>160</v>
      </c>
      <c r="D138" t="s">
        <v>39</v>
      </c>
      <c r="E138" t="s">
        <v>25</v>
      </c>
      <c r="F138" t="s">
        <v>33</v>
      </c>
      <c r="G138">
        <v>1</v>
      </c>
      <c r="H138">
        <v>169.9</v>
      </c>
      <c r="I138">
        <v>55</v>
      </c>
      <c r="J138">
        <v>169.9</v>
      </c>
      <c r="K138">
        <v>55</v>
      </c>
      <c r="L138">
        <v>114.9</v>
      </c>
      <c r="M138" t="s">
        <v>20</v>
      </c>
      <c r="N138" t="s">
        <v>27</v>
      </c>
    </row>
    <row r="139" spans="1:14" x14ac:dyDescent="0.25">
      <c r="A139" t="s">
        <v>290</v>
      </c>
      <c r="B139" s="1">
        <v>46113.788726851853</v>
      </c>
      <c r="C139" t="s">
        <v>262</v>
      </c>
      <c r="D139" t="s">
        <v>36</v>
      </c>
      <c r="E139" t="s">
        <v>50</v>
      </c>
      <c r="F139" t="s">
        <v>84</v>
      </c>
      <c r="G139">
        <v>1</v>
      </c>
      <c r="H139">
        <v>259.89999999999998</v>
      </c>
      <c r="I139">
        <v>82</v>
      </c>
      <c r="J139">
        <v>259.89999999999998</v>
      </c>
      <c r="K139">
        <v>82</v>
      </c>
      <c r="L139">
        <v>177.9</v>
      </c>
      <c r="M139" t="s">
        <v>20</v>
      </c>
      <c r="N139" t="s">
        <v>21</v>
      </c>
    </row>
    <row r="140" spans="1:14" x14ac:dyDescent="0.25">
      <c r="A140" t="s">
        <v>291</v>
      </c>
      <c r="B140" s="1">
        <v>46288.298900462964</v>
      </c>
      <c r="C140" t="s">
        <v>292</v>
      </c>
      <c r="D140" t="s">
        <v>24</v>
      </c>
      <c r="E140" t="s">
        <v>25</v>
      </c>
      <c r="F140" t="s">
        <v>33</v>
      </c>
      <c r="G140">
        <v>1</v>
      </c>
      <c r="H140">
        <v>169.9</v>
      </c>
      <c r="I140">
        <v>55</v>
      </c>
      <c r="J140">
        <v>169.9</v>
      </c>
      <c r="K140">
        <v>55</v>
      </c>
      <c r="L140">
        <v>114.9</v>
      </c>
      <c r="M140" t="s">
        <v>30</v>
      </c>
      <c r="N140" t="s">
        <v>21</v>
      </c>
    </row>
    <row r="141" spans="1:14" x14ac:dyDescent="0.25">
      <c r="A141" t="s">
        <v>293</v>
      </c>
      <c r="B141" s="1">
        <v>46130.500914351855</v>
      </c>
      <c r="C141" t="s">
        <v>294</v>
      </c>
      <c r="D141" t="s">
        <v>36</v>
      </c>
      <c r="E141" t="s">
        <v>25</v>
      </c>
      <c r="F141" t="s">
        <v>47</v>
      </c>
      <c r="G141">
        <v>1</v>
      </c>
      <c r="H141">
        <v>159.9</v>
      </c>
      <c r="I141">
        <v>52</v>
      </c>
      <c r="J141">
        <v>159.9</v>
      </c>
      <c r="K141">
        <v>52</v>
      </c>
      <c r="L141">
        <v>107.9</v>
      </c>
      <c r="M141" t="s">
        <v>30</v>
      </c>
      <c r="N141" t="s">
        <v>27</v>
      </c>
    </row>
    <row r="142" spans="1:14" x14ac:dyDescent="0.25">
      <c r="A142" t="s">
        <v>295</v>
      </c>
      <c r="B142" s="1">
        <v>46282.189050925925</v>
      </c>
      <c r="C142" t="s">
        <v>296</v>
      </c>
      <c r="D142" t="s">
        <v>36</v>
      </c>
      <c r="E142" t="s">
        <v>25</v>
      </c>
      <c r="F142" t="s">
        <v>47</v>
      </c>
      <c r="G142">
        <v>1</v>
      </c>
      <c r="H142">
        <v>159.9</v>
      </c>
      <c r="I142">
        <v>52</v>
      </c>
      <c r="J142">
        <v>159.9</v>
      </c>
      <c r="K142">
        <v>52</v>
      </c>
      <c r="L142">
        <v>107.9</v>
      </c>
      <c r="M142" t="s">
        <v>30</v>
      </c>
      <c r="N142" t="s">
        <v>21</v>
      </c>
    </row>
    <row r="143" spans="1:14" x14ac:dyDescent="0.25">
      <c r="A143" t="s">
        <v>297</v>
      </c>
      <c r="B143" s="1">
        <v>46242.469189814816</v>
      </c>
      <c r="C143" t="s">
        <v>259</v>
      </c>
      <c r="D143" t="s">
        <v>165</v>
      </c>
      <c r="E143" t="s">
        <v>25</v>
      </c>
      <c r="F143" t="s">
        <v>33</v>
      </c>
      <c r="G143">
        <v>2</v>
      </c>
      <c r="H143">
        <v>169.9</v>
      </c>
      <c r="I143">
        <v>55</v>
      </c>
      <c r="J143">
        <v>339.8</v>
      </c>
      <c r="K143">
        <v>110</v>
      </c>
      <c r="L143">
        <v>229.8</v>
      </c>
      <c r="M143" t="s">
        <v>30</v>
      </c>
      <c r="N143" t="s">
        <v>27</v>
      </c>
    </row>
    <row r="144" spans="1:14" x14ac:dyDescent="0.25">
      <c r="A144" t="s">
        <v>298</v>
      </c>
      <c r="B144" s="1">
        <v>46196.610451388886</v>
      </c>
      <c r="C144" t="s">
        <v>49</v>
      </c>
      <c r="D144" t="s">
        <v>72</v>
      </c>
      <c r="E144" t="s">
        <v>50</v>
      </c>
      <c r="F144" t="s">
        <v>51</v>
      </c>
      <c r="G144">
        <v>1</v>
      </c>
      <c r="H144">
        <v>319.89999999999998</v>
      </c>
      <c r="I144">
        <v>105</v>
      </c>
      <c r="J144">
        <v>319.89999999999998</v>
      </c>
      <c r="K144">
        <v>105</v>
      </c>
      <c r="L144">
        <v>214.9</v>
      </c>
      <c r="M144" t="s">
        <v>30</v>
      </c>
      <c r="N144" t="s">
        <v>27</v>
      </c>
    </row>
    <row r="145" spans="1:14" x14ac:dyDescent="0.25">
      <c r="A145" t="s">
        <v>299</v>
      </c>
      <c r="B145" s="1">
        <v>46254.193090277775</v>
      </c>
      <c r="C145" t="s">
        <v>300</v>
      </c>
      <c r="D145" t="s">
        <v>62</v>
      </c>
      <c r="E145" t="s">
        <v>58</v>
      </c>
      <c r="F145" t="s">
        <v>73</v>
      </c>
      <c r="G145">
        <v>3</v>
      </c>
      <c r="H145">
        <v>219.9</v>
      </c>
      <c r="I145">
        <v>70</v>
      </c>
      <c r="J145">
        <v>659.7</v>
      </c>
      <c r="K145">
        <v>210</v>
      </c>
      <c r="L145">
        <v>449.7</v>
      </c>
      <c r="M145" t="s">
        <v>30</v>
      </c>
      <c r="N145" t="s">
        <v>27</v>
      </c>
    </row>
    <row r="146" spans="1:14" x14ac:dyDescent="0.25">
      <c r="A146" t="s">
        <v>301</v>
      </c>
      <c r="B146" s="1">
        <v>46283.575173611112</v>
      </c>
      <c r="C146" t="s">
        <v>29</v>
      </c>
      <c r="D146" t="s">
        <v>62</v>
      </c>
      <c r="E146" t="s">
        <v>25</v>
      </c>
      <c r="F146" t="s">
        <v>26</v>
      </c>
      <c r="G146">
        <v>1</v>
      </c>
      <c r="H146">
        <v>139.9</v>
      </c>
      <c r="I146">
        <v>45</v>
      </c>
      <c r="J146">
        <v>139.9</v>
      </c>
      <c r="K146">
        <v>45</v>
      </c>
      <c r="L146">
        <v>94.9</v>
      </c>
      <c r="M146" t="s">
        <v>20</v>
      </c>
      <c r="N146" t="s">
        <v>27</v>
      </c>
    </row>
    <row r="147" spans="1:14" x14ac:dyDescent="0.25">
      <c r="A147" t="s">
        <v>302</v>
      </c>
      <c r="B147" s="1">
        <v>46270.863344907404</v>
      </c>
      <c r="C147" t="s">
        <v>303</v>
      </c>
      <c r="D147" t="s">
        <v>76</v>
      </c>
      <c r="E147" t="s">
        <v>25</v>
      </c>
      <c r="F147" t="s">
        <v>33</v>
      </c>
      <c r="G147">
        <v>2</v>
      </c>
      <c r="H147">
        <v>169.9</v>
      </c>
      <c r="I147">
        <v>55</v>
      </c>
      <c r="J147">
        <v>339.8</v>
      </c>
      <c r="K147">
        <v>110</v>
      </c>
      <c r="L147">
        <v>229.8</v>
      </c>
      <c r="M147" t="s">
        <v>30</v>
      </c>
      <c r="N147" t="s">
        <v>21</v>
      </c>
    </row>
    <row r="148" spans="1:14" x14ac:dyDescent="0.25">
      <c r="A148" t="s">
        <v>304</v>
      </c>
      <c r="B148" s="1">
        <v>46253.000613425924</v>
      </c>
      <c r="C148" t="s">
        <v>303</v>
      </c>
      <c r="D148" t="s">
        <v>24</v>
      </c>
      <c r="E148" t="s">
        <v>58</v>
      </c>
      <c r="F148" t="s">
        <v>73</v>
      </c>
      <c r="G148">
        <v>2</v>
      </c>
      <c r="H148">
        <v>219.9</v>
      </c>
      <c r="I148">
        <v>70</v>
      </c>
      <c r="J148">
        <v>439.8</v>
      </c>
      <c r="K148">
        <v>140</v>
      </c>
      <c r="L148">
        <v>299.8</v>
      </c>
      <c r="M148" t="s">
        <v>20</v>
      </c>
      <c r="N148" t="s">
        <v>27</v>
      </c>
    </row>
    <row r="149" spans="1:14" x14ac:dyDescent="0.25">
      <c r="A149" t="s">
        <v>305</v>
      </c>
      <c r="B149" s="1">
        <v>46166.65215277778</v>
      </c>
      <c r="C149" t="s">
        <v>306</v>
      </c>
      <c r="D149" t="s">
        <v>76</v>
      </c>
      <c r="E149" t="s">
        <v>25</v>
      </c>
      <c r="F149" t="s">
        <v>47</v>
      </c>
      <c r="G149">
        <v>2</v>
      </c>
      <c r="H149">
        <v>159.9</v>
      </c>
      <c r="I149">
        <v>52</v>
      </c>
      <c r="J149">
        <v>319.8</v>
      </c>
      <c r="K149">
        <v>104</v>
      </c>
      <c r="L149">
        <v>215.8</v>
      </c>
      <c r="M149" t="s">
        <v>30</v>
      </c>
      <c r="N149" t="s">
        <v>27</v>
      </c>
    </row>
    <row r="150" spans="1:14" x14ac:dyDescent="0.25">
      <c r="A150" t="s">
        <v>307</v>
      </c>
      <c r="B150" s="1">
        <v>46232.67019675926</v>
      </c>
      <c r="C150" t="s">
        <v>308</v>
      </c>
      <c r="D150" t="s">
        <v>1</v>
      </c>
      <c r="E150" t="s">
        <v>25</v>
      </c>
      <c r="F150" t="s">
        <v>26</v>
      </c>
      <c r="G150">
        <v>2</v>
      </c>
      <c r="H150">
        <v>139.9</v>
      </c>
      <c r="I150">
        <v>45</v>
      </c>
      <c r="J150">
        <v>279.8</v>
      </c>
      <c r="K150">
        <v>90</v>
      </c>
      <c r="L150">
        <v>189.8</v>
      </c>
      <c r="M150" t="s">
        <v>20</v>
      </c>
      <c r="N150" t="s">
        <v>21</v>
      </c>
    </row>
    <row r="151" spans="1:14" x14ac:dyDescent="0.25">
      <c r="A151" t="s">
        <v>309</v>
      </c>
      <c r="B151" s="1">
        <v>46243.717835648145</v>
      </c>
      <c r="C151" t="s">
        <v>310</v>
      </c>
      <c r="D151" t="s">
        <v>62</v>
      </c>
      <c r="E151" t="s">
        <v>25</v>
      </c>
      <c r="F151" t="s">
        <v>26</v>
      </c>
      <c r="G151">
        <v>1</v>
      </c>
      <c r="H151">
        <v>139.9</v>
      </c>
      <c r="I151">
        <v>45</v>
      </c>
      <c r="J151">
        <v>139.9</v>
      </c>
      <c r="K151">
        <v>45</v>
      </c>
      <c r="L151">
        <v>94.9</v>
      </c>
      <c r="M151" t="s">
        <v>43</v>
      </c>
      <c r="N151" t="s">
        <v>67</v>
      </c>
    </row>
    <row r="152" spans="1:14" x14ac:dyDescent="0.25">
      <c r="A152" t="s">
        <v>311</v>
      </c>
      <c r="B152" s="1">
        <v>46281.128634259258</v>
      </c>
      <c r="C152" t="s">
        <v>230</v>
      </c>
      <c r="D152" t="s">
        <v>24</v>
      </c>
      <c r="E152" t="s">
        <v>18</v>
      </c>
      <c r="F152" t="s">
        <v>19</v>
      </c>
      <c r="G152">
        <v>1</v>
      </c>
      <c r="H152">
        <v>129.9</v>
      </c>
      <c r="I152">
        <v>40</v>
      </c>
      <c r="J152">
        <v>129.9</v>
      </c>
      <c r="K152">
        <v>40</v>
      </c>
      <c r="L152">
        <v>89.9</v>
      </c>
      <c r="M152" t="s">
        <v>30</v>
      </c>
      <c r="N152" t="s">
        <v>21</v>
      </c>
    </row>
    <row r="153" spans="1:14" x14ac:dyDescent="0.25">
      <c r="A153" t="s">
        <v>312</v>
      </c>
      <c r="B153" s="1">
        <v>46282.960185185184</v>
      </c>
      <c r="C153" t="s">
        <v>313</v>
      </c>
      <c r="D153" t="s">
        <v>39</v>
      </c>
      <c r="E153" t="s">
        <v>50</v>
      </c>
      <c r="F153" t="s">
        <v>51</v>
      </c>
      <c r="G153">
        <v>1</v>
      </c>
      <c r="H153">
        <v>319.89999999999998</v>
      </c>
      <c r="I153">
        <v>105</v>
      </c>
      <c r="J153">
        <v>319.89999999999998</v>
      </c>
      <c r="K153">
        <v>105</v>
      </c>
      <c r="L153">
        <v>214.9</v>
      </c>
      <c r="M153" t="s">
        <v>43</v>
      </c>
      <c r="N153" t="s">
        <v>44</v>
      </c>
    </row>
    <row r="154" spans="1:14" x14ac:dyDescent="0.25">
      <c r="A154" t="s">
        <v>314</v>
      </c>
      <c r="B154" s="1">
        <v>46136.356296296297</v>
      </c>
      <c r="C154" t="s">
        <v>176</v>
      </c>
      <c r="D154" t="s">
        <v>24</v>
      </c>
      <c r="E154" t="s">
        <v>25</v>
      </c>
      <c r="F154" t="s">
        <v>47</v>
      </c>
      <c r="G154">
        <v>1</v>
      </c>
      <c r="H154">
        <v>159.9</v>
      </c>
      <c r="I154">
        <v>52</v>
      </c>
      <c r="J154">
        <v>159.9</v>
      </c>
      <c r="K154">
        <v>52</v>
      </c>
      <c r="L154">
        <v>107.9</v>
      </c>
      <c r="M154" t="s">
        <v>20</v>
      </c>
      <c r="N154" t="s">
        <v>21</v>
      </c>
    </row>
    <row r="155" spans="1:14" x14ac:dyDescent="0.25">
      <c r="A155" t="s">
        <v>315</v>
      </c>
      <c r="B155" s="1">
        <v>46170.302083333336</v>
      </c>
      <c r="C155" t="s">
        <v>316</v>
      </c>
      <c r="D155" t="s">
        <v>36</v>
      </c>
      <c r="E155" t="s">
        <v>58</v>
      </c>
      <c r="F155" t="s">
        <v>59</v>
      </c>
      <c r="G155">
        <v>2</v>
      </c>
      <c r="H155">
        <v>249.9</v>
      </c>
      <c r="I155">
        <v>80</v>
      </c>
      <c r="J155">
        <v>499.8</v>
      </c>
      <c r="K155">
        <v>160</v>
      </c>
      <c r="L155">
        <v>339.8</v>
      </c>
      <c r="M155" t="s">
        <v>30</v>
      </c>
      <c r="N155" t="s">
        <v>27</v>
      </c>
    </row>
    <row r="156" spans="1:14" x14ac:dyDescent="0.25">
      <c r="A156" t="s">
        <v>317</v>
      </c>
      <c r="B156" s="1">
        <v>46124.371435185189</v>
      </c>
      <c r="C156" t="s">
        <v>318</v>
      </c>
      <c r="D156" t="s">
        <v>24</v>
      </c>
      <c r="E156" t="s">
        <v>58</v>
      </c>
      <c r="F156" t="s">
        <v>95</v>
      </c>
      <c r="G156">
        <v>1</v>
      </c>
      <c r="H156">
        <v>279.89999999999998</v>
      </c>
      <c r="I156">
        <v>90</v>
      </c>
      <c r="J156">
        <v>279.89999999999998</v>
      </c>
      <c r="K156">
        <v>90</v>
      </c>
      <c r="L156">
        <v>189.9</v>
      </c>
      <c r="M156" t="s">
        <v>30</v>
      </c>
      <c r="N156" t="s">
        <v>27</v>
      </c>
    </row>
    <row r="157" spans="1:14" x14ac:dyDescent="0.25">
      <c r="A157" t="s">
        <v>319</v>
      </c>
      <c r="B157" s="1">
        <v>46309.110474537039</v>
      </c>
      <c r="C157" t="s">
        <v>83</v>
      </c>
      <c r="D157" t="s">
        <v>24</v>
      </c>
      <c r="E157" t="s">
        <v>25</v>
      </c>
      <c r="F157" t="s">
        <v>33</v>
      </c>
      <c r="G157">
        <v>2</v>
      </c>
      <c r="H157">
        <v>169.9</v>
      </c>
      <c r="I157">
        <v>55</v>
      </c>
      <c r="J157">
        <v>339.8</v>
      </c>
      <c r="K157">
        <v>110</v>
      </c>
      <c r="L157">
        <v>229.8</v>
      </c>
      <c r="M157" t="s">
        <v>20</v>
      </c>
      <c r="N157" t="s">
        <v>27</v>
      </c>
    </row>
    <row r="158" spans="1:14" x14ac:dyDescent="0.25">
      <c r="A158" t="s">
        <v>320</v>
      </c>
      <c r="B158" s="1">
        <v>46274.873310185183</v>
      </c>
      <c r="C158" t="s">
        <v>300</v>
      </c>
      <c r="D158" t="s">
        <v>54</v>
      </c>
      <c r="E158" t="s">
        <v>50</v>
      </c>
      <c r="F158" t="s">
        <v>84</v>
      </c>
      <c r="G158">
        <v>1</v>
      </c>
      <c r="H158">
        <v>259.89999999999998</v>
      </c>
      <c r="I158">
        <v>82</v>
      </c>
      <c r="J158">
        <v>259.89999999999998</v>
      </c>
      <c r="K158">
        <v>82</v>
      </c>
      <c r="L158">
        <v>177.9</v>
      </c>
      <c r="M158" t="s">
        <v>30</v>
      </c>
      <c r="N158" t="s">
        <v>21</v>
      </c>
    </row>
    <row r="159" spans="1:14" x14ac:dyDescent="0.25">
      <c r="A159" t="s">
        <v>321</v>
      </c>
      <c r="B159" s="1">
        <v>46291.582499999997</v>
      </c>
      <c r="C159" t="s">
        <v>322</v>
      </c>
      <c r="D159" t="s">
        <v>62</v>
      </c>
      <c r="E159" t="s">
        <v>50</v>
      </c>
      <c r="F159" t="s">
        <v>51</v>
      </c>
      <c r="G159">
        <v>1</v>
      </c>
      <c r="H159">
        <v>319.89999999999998</v>
      </c>
      <c r="I159">
        <v>105</v>
      </c>
      <c r="J159">
        <v>319.89999999999998</v>
      </c>
      <c r="K159">
        <v>105</v>
      </c>
      <c r="L159">
        <v>214.9</v>
      </c>
      <c r="M159" t="s">
        <v>30</v>
      </c>
      <c r="N159" t="s">
        <v>27</v>
      </c>
    </row>
    <row r="160" spans="1:14" x14ac:dyDescent="0.25">
      <c r="A160" t="s">
        <v>323</v>
      </c>
      <c r="B160" s="1">
        <v>46175.223865740743</v>
      </c>
      <c r="C160" t="s">
        <v>103</v>
      </c>
      <c r="D160" t="s">
        <v>24</v>
      </c>
      <c r="E160" t="s">
        <v>50</v>
      </c>
      <c r="F160" t="s">
        <v>84</v>
      </c>
      <c r="G160">
        <v>1</v>
      </c>
      <c r="H160">
        <v>259.89999999999998</v>
      </c>
      <c r="I160">
        <v>82</v>
      </c>
      <c r="J160">
        <v>259.89999999999998</v>
      </c>
      <c r="K160">
        <v>82</v>
      </c>
      <c r="L160">
        <v>177.9</v>
      </c>
      <c r="M160" t="s">
        <v>20</v>
      </c>
      <c r="N160" t="s">
        <v>21</v>
      </c>
    </row>
    <row r="161" spans="1:14" x14ac:dyDescent="0.25">
      <c r="A161" t="s">
        <v>324</v>
      </c>
      <c r="B161" s="1">
        <v>46114.161689814813</v>
      </c>
      <c r="C161" t="s">
        <v>325</v>
      </c>
      <c r="D161" t="s">
        <v>76</v>
      </c>
      <c r="E161" t="s">
        <v>18</v>
      </c>
      <c r="F161" t="s">
        <v>222</v>
      </c>
      <c r="G161">
        <v>1</v>
      </c>
      <c r="H161">
        <v>79.900000000000006</v>
      </c>
      <c r="I161">
        <v>22</v>
      </c>
      <c r="J161">
        <v>79.900000000000006</v>
      </c>
      <c r="K161">
        <v>22</v>
      </c>
      <c r="L161">
        <v>57.9</v>
      </c>
      <c r="M161" t="s">
        <v>20</v>
      </c>
      <c r="N161" t="s">
        <v>27</v>
      </c>
    </row>
    <row r="162" spans="1:14" x14ac:dyDescent="0.25">
      <c r="A162" t="s">
        <v>326</v>
      </c>
      <c r="B162" s="1">
        <v>46169.266817129632</v>
      </c>
      <c r="C162" t="s">
        <v>267</v>
      </c>
      <c r="D162" t="s">
        <v>72</v>
      </c>
      <c r="E162" t="s">
        <v>25</v>
      </c>
      <c r="F162" t="s">
        <v>33</v>
      </c>
      <c r="G162">
        <v>1</v>
      </c>
      <c r="H162">
        <v>169.9</v>
      </c>
      <c r="I162">
        <v>55</v>
      </c>
      <c r="J162">
        <v>169.9</v>
      </c>
      <c r="K162">
        <v>55</v>
      </c>
      <c r="L162">
        <v>114.9</v>
      </c>
      <c r="M162" t="s">
        <v>20</v>
      </c>
      <c r="N162" t="s">
        <v>27</v>
      </c>
    </row>
    <row r="163" spans="1:14" x14ac:dyDescent="0.25">
      <c r="A163" t="s">
        <v>327</v>
      </c>
      <c r="B163" s="1">
        <v>46125.845601851855</v>
      </c>
      <c r="C163" t="s">
        <v>107</v>
      </c>
      <c r="D163" t="s">
        <v>72</v>
      </c>
      <c r="E163" t="s">
        <v>18</v>
      </c>
      <c r="F163" t="s">
        <v>135</v>
      </c>
      <c r="G163">
        <v>3</v>
      </c>
      <c r="H163">
        <v>89.9</v>
      </c>
      <c r="I163">
        <v>25</v>
      </c>
      <c r="J163">
        <v>269.7</v>
      </c>
      <c r="K163">
        <v>75</v>
      </c>
      <c r="L163">
        <v>194.7</v>
      </c>
      <c r="M163" t="s">
        <v>30</v>
      </c>
      <c r="N163" t="s">
        <v>21</v>
      </c>
    </row>
    <row r="164" spans="1:14" x14ac:dyDescent="0.25">
      <c r="A164" t="s">
        <v>328</v>
      </c>
      <c r="B164" s="1">
        <v>46229.202280092592</v>
      </c>
      <c r="C164" t="s">
        <v>267</v>
      </c>
      <c r="D164" t="s">
        <v>165</v>
      </c>
      <c r="E164" t="s">
        <v>58</v>
      </c>
      <c r="F164" t="s">
        <v>73</v>
      </c>
      <c r="G164">
        <v>1</v>
      </c>
      <c r="H164">
        <v>219.9</v>
      </c>
      <c r="I164">
        <v>70</v>
      </c>
      <c r="J164">
        <v>219.9</v>
      </c>
      <c r="K164">
        <v>70</v>
      </c>
      <c r="L164">
        <v>149.9</v>
      </c>
      <c r="M164" t="s">
        <v>43</v>
      </c>
      <c r="N164" t="s">
        <v>44</v>
      </c>
    </row>
    <row r="165" spans="1:14" x14ac:dyDescent="0.25">
      <c r="A165" t="s">
        <v>329</v>
      </c>
      <c r="B165" s="1">
        <v>46283.80574074074</v>
      </c>
      <c r="C165" t="s">
        <v>330</v>
      </c>
      <c r="D165" t="s">
        <v>36</v>
      </c>
      <c r="E165" t="s">
        <v>50</v>
      </c>
      <c r="F165" t="s">
        <v>84</v>
      </c>
      <c r="G165">
        <v>1</v>
      </c>
      <c r="H165">
        <v>259.89999999999998</v>
      </c>
      <c r="I165">
        <v>82</v>
      </c>
      <c r="J165">
        <v>259.89999999999998</v>
      </c>
      <c r="K165">
        <v>82</v>
      </c>
      <c r="L165">
        <v>177.9</v>
      </c>
      <c r="M165" t="s">
        <v>30</v>
      </c>
      <c r="N165" t="s">
        <v>27</v>
      </c>
    </row>
    <row r="166" spans="1:14" x14ac:dyDescent="0.25">
      <c r="A166" t="s">
        <v>331</v>
      </c>
      <c r="B166" s="1">
        <v>46194.671388888892</v>
      </c>
      <c r="C166" t="s">
        <v>332</v>
      </c>
      <c r="D166" t="s">
        <v>39</v>
      </c>
      <c r="E166" t="s">
        <v>25</v>
      </c>
      <c r="F166" t="s">
        <v>33</v>
      </c>
      <c r="G166">
        <v>1</v>
      </c>
      <c r="H166">
        <v>169.9</v>
      </c>
      <c r="I166">
        <v>55</v>
      </c>
      <c r="J166">
        <v>169.9</v>
      </c>
      <c r="K166">
        <v>55</v>
      </c>
      <c r="L166">
        <v>114.9</v>
      </c>
      <c r="M166" t="s">
        <v>30</v>
      </c>
      <c r="N166" t="s">
        <v>27</v>
      </c>
    </row>
    <row r="167" spans="1:14" x14ac:dyDescent="0.25">
      <c r="A167" t="s">
        <v>333</v>
      </c>
      <c r="B167" s="1">
        <v>46253.676458333335</v>
      </c>
      <c r="C167" t="s">
        <v>334</v>
      </c>
      <c r="D167" t="s">
        <v>62</v>
      </c>
      <c r="E167" t="s">
        <v>25</v>
      </c>
      <c r="F167" t="s">
        <v>26</v>
      </c>
      <c r="G167">
        <v>1</v>
      </c>
      <c r="H167">
        <v>139.9</v>
      </c>
      <c r="I167">
        <v>45</v>
      </c>
      <c r="J167">
        <v>139.9</v>
      </c>
      <c r="K167">
        <v>45</v>
      </c>
      <c r="L167">
        <v>94.9</v>
      </c>
      <c r="M167" t="s">
        <v>20</v>
      </c>
      <c r="N167" t="s">
        <v>27</v>
      </c>
    </row>
    <row r="168" spans="1:14" x14ac:dyDescent="0.25">
      <c r="A168" t="s">
        <v>335</v>
      </c>
      <c r="B168" s="1">
        <v>46303.720092592594</v>
      </c>
      <c r="C168" t="s">
        <v>336</v>
      </c>
      <c r="D168" t="s">
        <v>24</v>
      </c>
      <c r="E168" t="s">
        <v>50</v>
      </c>
      <c r="F168" t="s">
        <v>51</v>
      </c>
      <c r="G168">
        <v>1</v>
      </c>
      <c r="H168">
        <v>319.89999999999998</v>
      </c>
      <c r="I168">
        <v>105</v>
      </c>
      <c r="J168">
        <v>319.89999999999998</v>
      </c>
      <c r="K168">
        <v>105</v>
      </c>
      <c r="L168">
        <v>214.9</v>
      </c>
      <c r="M168" t="s">
        <v>30</v>
      </c>
      <c r="N168" t="s">
        <v>27</v>
      </c>
    </row>
    <row r="169" spans="1:14" x14ac:dyDescent="0.25">
      <c r="A169" t="s">
        <v>337</v>
      </c>
      <c r="B169" s="1">
        <v>46305.375069444446</v>
      </c>
      <c r="C169" t="s">
        <v>130</v>
      </c>
      <c r="D169" t="s">
        <v>1</v>
      </c>
      <c r="E169" t="s">
        <v>18</v>
      </c>
      <c r="F169" t="s">
        <v>19</v>
      </c>
      <c r="G169">
        <v>1</v>
      </c>
      <c r="H169">
        <v>129.9</v>
      </c>
      <c r="I169">
        <v>40</v>
      </c>
      <c r="J169">
        <v>129.9</v>
      </c>
      <c r="K169">
        <v>40</v>
      </c>
      <c r="L169">
        <v>89.9</v>
      </c>
      <c r="M169" t="s">
        <v>20</v>
      </c>
      <c r="N169" t="s">
        <v>27</v>
      </c>
    </row>
    <row r="170" spans="1:14" x14ac:dyDescent="0.25">
      <c r="A170" t="s">
        <v>338</v>
      </c>
      <c r="B170" s="1">
        <v>46183.790821759256</v>
      </c>
      <c r="C170" t="s">
        <v>339</v>
      </c>
      <c r="D170" t="s">
        <v>24</v>
      </c>
      <c r="E170" t="s">
        <v>50</v>
      </c>
      <c r="F170" t="s">
        <v>84</v>
      </c>
      <c r="G170">
        <v>1</v>
      </c>
      <c r="H170">
        <v>259.89999999999998</v>
      </c>
      <c r="I170">
        <v>82</v>
      </c>
      <c r="J170">
        <v>259.89999999999998</v>
      </c>
      <c r="K170">
        <v>82</v>
      </c>
      <c r="L170">
        <v>177.9</v>
      </c>
      <c r="M170" t="s">
        <v>43</v>
      </c>
      <c r="N170" t="s">
        <v>27</v>
      </c>
    </row>
    <row r="171" spans="1:14" x14ac:dyDescent="0.25">
      <c r="A171" t="s">
        <v>340</v>
      </c>
      <c r="B171" s="1">
        <v>46174.416574074072</v>
      </c>
      <c r="C171" t="s">
        <v>341</v>
      </c>
      <c r="D171" t="s">
        <v>1</v>
      </c>
      <c r="E171" t="s">
        <v>25</v>
      </c>
      <c r="F171" t="s">
        <v>40</v>
      </c>
      <c r="G171">
        <v>4</v>
      </c>
      <c r="H171">
        <v>139.9</v>
      </c>
      <c r="I171">
        <v>45</v>
      </c>
      <c r="J171">
        <v>559.6</v>
      </c>
      <c r="K171">
        <v>180</v>
      </c>
      <c r="L171">
        <v>379.6</v>
      </c>
      <c r="M171" t="s">
        <v>20</v>
      </c>
      <c r="N171" t="s">
        <v>27</v>
      </c>
    </row>
    <row r="172" spans="1:14" x14ac:dyDescent="0.25">
      <c r="A172" t="s">
        <v>342</v>
      </c>
      <c r="B172" s="1">
        <v>46295.433449074073</v>
      </c>
      <c r="C172" t="s">
        <v>343</v>
      </c>
      <c r="D172" t="s">
        <v>24</v>
      </c>
      <c r="E172" t="s">
        <v>58</v>
      </c>
      <c r="F172" t="s">
        <v>73</v>
      </c>
      <c r="G172">
        <v>1</v>
      </c>
      <c r="H172">
        <v>219.9</v>
      </c>
      <c r="I172">
        <v>70</v>
      </c>
      <c r="J172">
        <v>219.9</v>
      </c>
      <c r="K172">
        <v>70</v>
      </c>
      <c r="L172">
        <v>149.9</v>
      </c>
      <c r="M172" t="s">
        <v>43</v>
      </c>
      <c r="N172" t="s">
        <v>27</v>
      </c>
    </row>
    <row r="173" spans="1:14" x14ac:dyDescent="0.25">
      <c r="A173" t="s">
        <v>344</v>
      </c>
      <c r="B173" s="1">
        <v>46198.485000000001</v>
      </c>
      <c r="C173" t="s">
        <v>345</v>
      </c>
      <c r="D173" t="s">
        <v>24</v>
      </c>
      <c r="E173" t="s">
        <v>25</v>
      </c>
      <c r="F173" t="s">
        <v>40</v>
      </c>
      <c r="G173">
        <v>1</v>
      </c>
      <c r="H173">
        <v>139.9</v>
      </c>
      <c r="I173">
        <v>45</v>
      </c>
      <c r="J173">
        <v>139.9</v>
      </c>
      <c r="K173">
        <v>45</v>
      </c>
      <c r="L173">
        <v>94.9</v>
      </c>
      <c r="M173" t="s">
        <v>20</v>
      </c>
      <c r="N173" t="s">
        <v>21</v>
      </c>
    </row>
    <row r="174" spans="1:14" x14ac:dyDescent="0.25">
      <c r="A174" t="s">
        <v>346</v>
      </c>
      <c r="B174" s="1">
        <v>46148.228807870371</v>
      </c>
      <c r="C174" t="s">
        <v>347</v>
      </c>
      <c r="D174" t="s">
        <v>39</v>
      </c>
      <c r="E174" t="s">
        <v>50</v>
      </c>
      <c r="F174" t="s">
        <v>51</v>
      </c>
      <c r="G174">
        <v>1</v>
      </c>
      <c r="H174">
        <v>319.89999999999998</v>
      </c>
      <c r="I174">
        <v>105</v>
      </c>
      <c r="J174">
        <v>319.89999999999998</v>
      </c>
      <c r="K174">
        <v>105</v>
      </c>
      <c r="L174">
        <v>214.9</v>
      </c>
      <c r="M174" t="s">
        <v>30</v>
      </c>
      <c r="N174" t="s">
        <v>27</v>
      </c>
    </row>
    <row r="175" spans="1:14" x14ac:dyDescent="0.25">
      <c r="A175" t="s">
        <v>348</v>
      </c>
      <c r="B175" s="1">
        <v>46290.231805555559</v>
      </c>
      <c r="C175" t="s">
        <v>75</v>
      </c>
      <c r="D175" t="s">
        <v>36</v>
      </c>
      <c r="E175" t="s">
        <v>25</v>
      </c>
      <c r="F175" t="s">
        <v>26</v>
      </c>
      <c r="G175">
        <v>1</v>
      </c>
      <c r="H175">
        <v>139.9</v>
      </c>
      <c r="I175">
        <v>45</v>
      </c>
      <c r="J175">
        <v>139.9</v>
      </c>
      <c r="K175">
        <v>45</v>
      </c>
      <c r="L175">
        <v>94.9</v>
      </c>
      <c r="M175" t="s">
        <v>20</v>
      </c>
      <c r="N175" t="s">
        <v>67</v>
      </c>
    </row>
    <row r="176" spans="1:14" x14ac:dyDescent="0.25">
      <c r="A176" t="s">
        <v>349</v>
      </c>
      <c r="B176" s="1">
        <v>46129.629363425927</v>
      </c>
      <c r="C176" t="s">
        <v>350</v>
      </c>
      <c r="D176" t="s">
        <v>1</v>
      </c>
      <c r="E176" t="s">
        <v>25</v>
      </c>
      <c r="F176" t="s">
        <v>47</v>
      </c>
      <c r="G176">
        <v>1</v>
      </c>
      <c r="H176">
        <v>159.9</v>
      </c>
      <c r="I176">
        <v>52</v>
      </c>
      <c r="J176">
        <v>159.9</v>
      </c>
      <c r="K176">
        <v>52</v>
      </c>
      <c r="L176">
        <v>107.9</v>
      </c>
      <c r="M176" t="s">
        <v>30</v>
      </c>
      <c r="N176" t="s">
        <v>21</v>
      </c>
    </row>
    <row r="177" spans="1:14" x14ac:dyDescent="0.25">
      <c r="A177" t="s">
        <v>351</v>
      </c>
      <c r="B177" s="1">
        <v>46251.706817129627</v>
      </c>
      <c r="C177" t="s">
        <v>352</v>
      </c>
      <c r="D177" t="s">
        <v>24</v>
      </c>
      <c r="E177" t="s">
        <v>58</v>
      </c>
      <c r="F177" t="s">
        <v>59</v>
      </c>
      <c r="G177">
        <v>2</v>
      </c>
      <c r="H177">
        <v>249.9</v>
      </c>
      <c r="I177">
        <v>80</v>
      </c>
      <c r="J177">
        <v>499.8</v>
      </c>
      <c r="K177">
        <v>160</v>
      </c>
      <c r="L177">
        <v>339.8</v>
      </c>
      <c r="M177" t="s">
        <v>30</v>
      </c>
      <c r="N177" t="s">
        <v>21</v>
      </c>
    </row>
    <row r="178" spans="1:14" x14ac:dyDescent="0.25">
      <c r="A178" t="s">
        <v>353</v>
      </c>
      <c r="B178" s="1">
        <v>46165.637372685182</v>
      </c>
      <c r="C178" t="s">
        <v>354</v>
      </c>
      <c r="D178" t="s">
        <v>24</v>
      </c>
      <c r="E178" t="s">
        <v>50</v>
      </c>
      <c r="F178" t="s">
        <v>84</v>
      </c>
      <c r="G178">
        <v>1</v>
      </c>
      <c r="H178">
        <v>259.89999999999998</v>
      </c>
      <c r="I178">
        <v>82</v>
      </c>
      <c r="J178">
        <v>259.89999999999998</v>
      </c>
      <c r="K178">
        <v>82</v>
      </c>
      <c r="L178">
        <v>177.9</v>
      </c>
      <c r="M178" t="s">
        <v>30</v>
      </c>
      <c r="N178" t="s">
        <v>27</v>
      </c>
    </row>
    <row r="179" spans="1:14" x14ac:dyDescent="0.25">
      <c r="A179" t="s">
        <v>355</v>
      </c>
      <c r="B179" s="1">
        <v>46291.029629629629</v>
      </c>
      <c r="C179" t="s">
        <v>356</v>
      </c>
      <c r="D179" t="s">
        <v>24</v>
      </c>
      <c r="E179" t="s">
        <v>50</v>
      </c>
      <c r="F179" t="s">
        <v>84</v>
      </c>
      <c r="G179">
        <v>1</v>
      </c>
      <c r="H179">
        <v>259.89999999999998</v>
      </c>
      <c r="I179">
        <v>82</v>
      </c>
      <c r="J179">
        <v>259.89999999999998</v>
      </c>
      <c r="K179">
        <v>82</v>
      </c>
      <c r="L179">
        <v>177.9</v>
      </c>
      <c r="M179" t="s">
        <v>30</v>
      </c>
      <c r="N179" t="s">
        <v>21</v>
      </c>
    </row>
    <row r="180" spans="1:14" x14ac:dyDescent="0.25">
      <c r="A180" t="s">
        <v>357</v>
      </c>
      <c r="B180" s="1">
        <v>46210.723587962966</v>
      </c>
      <c r="C180" t="s">
        <v>358</v>
      </c>
      <c r="D180" t="s">
        <v>72</v>
      </c>
      <c r="E180" t="s">
        <v>58</v>
      </c>
      <c r="F180" t="s">
        <v>73</v>
      </c>
      <c r="G180">
        <v>2</v>
      </c>
      <c r="H180">
        <v>219.9</v>
      </c>
      <c r="I180">
        <v>70</v>
      </c>
      <c r="J180">
        <v>439.8</v>
      </c>
      <c r="K180">
        <v>140</v>
      </c>
      <c r="L180">
        <v>299.8</v>
      </c>
      <c r="M180" t="s">
        <v>30</v>
      </c>
      <c r="N180" t="s">
        <v>27</v>
      </c>
    </row>
    <row r="181" spans="1:14" x14ac:dyDescent="0.25">
      <c r="A181" t="s">
        <v>359</v>
      </c>
      <c r="B181" s="1">
        <v>46189.591620370367</v>
      </c>
      <c r="C181" t="s">
        <v>240</v>
      </c>
      <c r="D181" t="s">
        <v>24</v>
      </c>
      <c r="E181" t="s">
        <v>25</v>
      </c>
      <c r="F181" t="s">
        <v>33</v>
      </c>
      <c r="G181">
        <v>2</v>
      </c>
      <c r="H181">
        <v>169.9</v>
      </c>
      <c r="I181">
        <v>55</v>
      </c>
      <c r="J181">
        <v>339.8</v>
      </c>
      <c r="K181">
        <v>110</v>
      </c>
      <c r="L181">
        <v>229.8</v>
      </c>
      <c r="M181" t="s">
        <v>30</v>
      </c>
      <c r="N181" t="s">
        <v>21</v>
      </c>
    </row>
    <row r="182" spans="1:14" x14ac:dyDescent="0.25">
      <c r="A182" t="s">
        <v>360</v>
      </c>
      <c r="B182" s="1">
        <v>46250.82849537037</v>
      </c>
      <c r="C182" t="s">
        <v>180</v>
      </c>
      <c r="D182" t="s">
        <v>24</v>
      </c>
      <c r="E182" t="s">
        <v>25</v>
      </c>
      <c r="F182" t="s">
        <v>26</v>
      </c>
      <c r="G182">
        <v>1</v>
      </c>
      <c r="H182">
        <v>139.9</v>
      </c>
      <c r="I182">
        <v>45</v>
      </c>
      <c r="J182">
        <v>139.9</v>
      </c>
      <c r="K182">
        <v>45</v>
      </c>
      <c r="L182">
        <v>94.9</v>
      </c>
      <c r="M182" t="s">
        <v>20</v>
      </c>
      <c r="N182" t="s">
        <v>27</v>
      </c>
    </row>
    <row r="183" spans="1:14" x14ac:dyDescent="0.25">
      <c r="A183" t="s">
        <v>361</v>
      </c>
      <c r="B183" s="1">
        <v>46237.332870370374</v>
      </c>
      <c r="C183" t="s">
        <v>362</v>
      </c>
      <c r="D183" t="s">
        <v>62</v>
      </c>
      <c r="E183" t="s">
        <v>58</v>
      </c>
      <c r="F183" t="s">
        <v>73</v>
      </c>
      <c r="G183">
        <v>1</v>
      </c>
      <c r="H183">
        <v>219.9</v>
      </c>
      <c r="I183">
        <v>70</v>
      </c>
      <c r="J183">
        <v>219.9</v>
      </c>
      <c r="K183">
        <v>70</v>
      </c>
      <c r="L183">
        <v>149.9</v>
      </c>
      <c r="M183" t="s">
        <v>30</v>
      </c>
      <c r="N183" t="s">
        <v>27</v>
      </c>
    </row>
    <row r="184" spans="1:14" x14ac:dyDescent="0.25">
      <c r="A184" t="s">
        <v>363</v>
      </c>
      <c r="B184" s="1">
        <v>46237.044027777774</v>
      </c>
      <c r="C184" t="s">
        <v>354</v>
      </c>
      <c r="D184" t="s">
        <v>36</v>
      </c>
      <c r="E184" t="s">
        <v>25</v>
      </c>
      <c r="F184" t="s">
        <v>47</v>
      </c>
      <c r="G184">
        <v>1</v>
      </c>
      <c r="H184">
        <v>159.9</v>
      </c>
      <c r="I184">
        <v>52</v>
      </c>
      <c r="J184">
        <v>159.9</v>
      </c>
      <c r="K184">
        <v>52</v>
      </c>
      <c r="L184">
        <v>107.9</v>
      </c>
      <c r="M184" t="s">
        <v>30</v>
      </c>
      <c r="N184" t="s">
        <v>27</v>
      </c>
    </row>
    <row r="185" spans="1:14" x14ac:dyDescent="0.25">
      <c r="A185" t="s">
        <v>364</v>
      </c>
      <c r="B185" s="1">
        <v>46284.613356481481</v>
      </c>
      <c r="C185" t="s">
        <v>365</v>
      </c>
      <c r="D185" t="s">
        <v>1</v>
      </c>
      <c r="E185" t="s">
        <v>25</v>
      </c>
      <c r="F185" t="s">
        <v>26</v>
      </c>
      <c r="G185">
        <v>3</v>
      </c>
      <c r="H185">
        <v>139.9</v>
      </c>
      <c r="I185">
        <v>45</v>
      </c>
      <c r="J185">
        <v>419.7</v>
      </c>
      <c r="K185">
        <v>135</v>
      </c>
      <c r="L185">
        <v>284.7</v>
      </c>
      <c r="M185" t="s">
        <v>20</v>
      </c>
      <c r="N185" t="s">
        <v>21</v>
      </c>
    </row>
    <row r="186" spans="1:14" x14ac:dyDescent="0.25">
      <c r="A186" t="s">
        <v>366</v>
      </c>
      <c r="B186" s="1">
        <v>46232.193611111114</v>
      </c>
      <c r="C186" t="s">
        <v>294</v>
      </c>
      <c r="D186" t="s">
        <v>76</v>
      </c>
      <c r="E186" t="s">
        <v>50</v>
      </c>
      <c r="F186" t="s">
        <v>84</v>
      </c>
      <c r="G186">
        <v>2</v>
      </c>
      <c r="H186">
        <v>259.89999999999998</v>
      </c>
      <c r="I186">
        <v>82</v>
      </c>
      <c r="J186">
        <v>519.79999999999995</v>
      </c>
      <c r="K186">
        <v>164</v>
      </c>
      <c r="L186">
        <v>355.8</v>
      </c>
      <c r="M186" t="s">
        <v>20</v>
      </c>
      <c r="N186" t="s">
        <v>27</v>
      </c>
    </row>
    <row r="187" spans="1:14" x14ac:dyDescent="0.25">
      <c r="A187" t="s">
        <v>367</v>
      </c>
      <c r="B187" s="1">
        <v>46119.597743055558</v>
      </c>
      <c r="C187" t="s">
        <v>32</v>
      </c>
      <c r="D187" t="s">
        <v>24</v>
      </c>
      <c r="E187" t="s">
        <v>25</v>
      </c>
      <c r="F187" t="s">
        <v>40</v>
      </c>
      <c r="G187">
        <v>1</v>
      </c>
      <c r="H187">
        <v>139.9</v>
      </c>
      <c r="I187">
        <v>45</v>
      </c>
      <c r="J187">
        <v>139.9</v>
      </c>
      <c r="K187">
        <v>45</v>
      </c>
      <c r="L187">
        <v>94.9</v>
      </c>
      <c r="M187" t="s">
        <v>20</v>
      </c>
      <c r="N187" t="s">
        <v>27</v>
      </c>
    </row>
    <row r="188" spans="1:14" x14ac:dyDescent="0.25">
      <c r="A188" t="s">
        <v>368</v>
      </c>
      <c r="B188" s="1">
        <v>46134.975069444445</v>
      </c>
      <c r="C188" t="s">
        <v>109</v>
      </c>
      <c r="D188" t="s">
        <v>24</v>
      </c>
      <c r="E188" t="s">
        <v>58</v>
      </c>
      <c r="F188" t="s">
        <v>59</v>
      </c>
      <c r="G188">
        <v>4</v>
      </c>
      <c r="H188">
        <v>249.9</v>
      </c>
      <c r="I188">
        <v>80</v>
      </c>
      <c r="J188">
        <v>999.6</v>
      </c>
      <c r="K188">
        <v>320</v>
      </c>
      <c r="L188">
        <v>679.6</v>
      </c>
      <c r="M188" t="s">
        <v>20</v>
      </c>
      <c r="N188" t="s">
        <v>21</v>
      </c>
    </row>
    <row r="189" spans="1:14" x14ac:dyDescent="0.25">
      <c r="A189" t="s">
        <v>369</v>
      </c>
      <c r="B189" s="1">
        <v>46231.275682870371</v>
      </c>
      <c r="C189" t="s">
        <v>370</v>
      </c>
      <c r="D189" t="s">
        <v>24</v>
      </c>
      <c r="E189" t="s">
        <v>25</v>
      </c>
      <c r="F189" t="s">
        <v>47</v>
      </c>
      <c r="G189">
        <v>3</v>
      </c>
      <c r="H189">
        <v>159.9</v>
      </c>
      <c r="I189">
        <v>52</v>
      </c>
      <c r="J189">
        <v>479.7</v>
      </c>
      <c r="K189">
        <v>156</v>
      </c>
      <c r="L189">
        <v>323.7</v>
      </c>
      <c r="M189" t="s">
        <v>30</v>
      </c>
      <c r="N189" t="s">
        <v>27</v>
      </c>
    </row>
    <row r="190" spans="1:14" x14ac:dyDescent="0.25">
      <c r="A190" t="s">
        <v>371</v>
      </c>
      <c r="B190" s="1">
        <v>46210.49659722222</v>
      </c>
      <c r="C190" t="s">
        <v>167</v>
      </c>
      <c r="D190" t="s">
        <v>24</v>
      </c>
      <c r="E190" t="s">
        <v>50</v>
      </c>
      <c r="F190" t="s">
        <v>51</v>
      </c>
      <c r="G190">
        <v>2</v>
      </c>
      <c r="H190">
        <v>319.89999999999998</v>
      </c>
      <c r="I190">
        <v>105</v>
      </c>
      <c r="J190">
        <v>639.79999999999995</v>
      </c>
      <c r="K190">
        <v>210</v>
      </c>
      <c r="L190">
        <v>429.8</v>
      </c>
      <c r="M190" t="s">
        <v>20</v>
      </c>
      <c r="N190" t="s">
        <v>21</v>
      </c>
    </row>
    <row r="191" spans="1:14" x14ac:dyDescent="0.25">
      <c r="A191" t="s">
        <v>372</v>
      </c>
      <c r="B191" s="1">
        <v>46196.511990740742</v>
      </c>
      <c r="C191" t="s">
        <v>373</v>
      </c>
      <c r="D191" t="s">
        <v>24</v>
      </c>
      <c r="E191" t="s">
        <v>25</v>
      </c>
      <c r="F191" t="s">
        <v>33</v>
      </c>
      <c r="G191">
        <v>3</v>
      </c>
      <c r="H191">
        <v>169.9</v>
      </c>
      <c r="I191">
        <v>55</v>
      </c>
      <c r="J191">
        <v>509.7</v>
      </c>
      <c r="K191">
        <v>165</v>
      </c>
      <c r="L191">
        <v>344.7</v>
      </c>
      <c r="M191" t="s">
        <v>20</v>
      </c>
      <c r="N191" t="s">
        <v>27</v>
      </c>
    </row>
    <row r="192" spans="1:14" x14ac:dyDescent="0.25">
      <c r="A192" t="s">
        <v>374</v>
      </c>
      <c r="B192" s="1">
        <v>46184.639525462961</v>
      </c>
      <c r="C192" t="s">
        <v>242</v>
      </c>
      <c r="D192" t="s">
        <v>36</v>
      </c>
      <c r="E192" t="s">
        <v>50</v>
      </c>
      <c r="F192" t="s">
        <v>77</v>
      </c>
      <c r="G192">
        <v>1</v>
      </c>
      <c r="H192">
        <v>289.89999999999998</v>
      </c>
      <c r="I192">
        <v>95</v>
      </c>
      <c r="J192">
        <v>289.89999999999998</v>
      </c>
      <c r="K192">
        <v>95</v>
      </c>
      <c r="L192">
        <v>194.9</v>
      </c>
      <c r="M192" t="s">
        <v>43</v>
      </c>
      <c r="N192" t="s">
        <v>27</v>
      </c>
    </row>
    <row r="193" spans="1:14" x14ac:dyDescent="0.25">
      <c r="A193" t="s">
        <v>375</v>
      </c>
      <c r="B193" s="1">
        <v>46233.029398148145</v>
      </c>
      <c r="C193" t="s">
        <v>201</v>
      </c>
      <c r="D193" t="s">
        <v>1</v>
      </c>
      <c r="E193" t="s">
        <v>50</v>
      </c>
      <c r="F193" t="s">
        <v>84</v>
      </c>
      <c r="G193">
        <v>1</v>
      </c>
      <c r="H193">
        <v>259.89999999999998</v>
      </c>
      <c r="I193">
        <v>82</v>
      </c>
      <c r="J193">
        <v>259.89999999999998</v>
      </c>
      <c r="K193">
        <v>82</v>
      </c>
      <c r="L193">
        <v>177.9</v>
      </c>
      <c r="M193" t="s">
        <v>30</v>
      </c>
      <c r="N193" t="s">
        <v>27</v>
      </c>
    </row>
    <row r="194" spans="1:14" x14ac:dyDescent="0.25">
      <c r="A194" t="s">
        <v>376</v>
      </c>
      <c r="B194" s="1">
        <v>46126.530902777777</v>
      </c>
      <c r="C194" t="s">
        <v>23</v>
      </c>
      <c r="D194" t="s">
        <v>24</v>
      </c>
      <c r="E194" t="s">
        <v>50</v>
      </c>
      <c r="F194" t="s">
        <v>84</v>
      </c>
      <c r="G194">
        <v>1</v>
      </c>
      <c r="H194">
        <v>259.89999999999998</v>
      </c>
      <c r="I194">
        <v>82</v>
      </c>
      <c r="J194">
        <v>259.89999999999998</v>
      </c>
      <c r="K194">
        <v>82</v>
      </c>
      <c r="L194">
        <v>177.9</v>
      </c>
      <c r="M194" t="s">
        <v>30</v>
      </c>
      <c r="N194" t="s">
        <v>21</v>
      </c>
    </row>
    <row r="195" spans="1:14" x14ac:dyDescent="0.25">
      <c r="A195" t="s">
        <v>377</v>
      </c>
      <c r="B195" s="1">
        <v>46130.988726851851</v>
      </c>
      <c r="C195" t="s">
        <v>255</v>
      </c>
      <c r="D195" t="s">
        <v>1</v>
      </c>
      <c r="E195" t="s">
        <v>58</v>
      </c>
      <c r="F195" t="s">
        <v>59</v>
      </c>
      <c r="G195">
        <v>1</v>
      </c>
      <c r="H195">
        <v>249.9</v>
      </c>
      <c r="I195">
        <v>80</v>
      </c>
      <c r="J195">
        <v>249.9</v>
      </c>
      <c r="K195">
        <v>80</v>
      </c>
      <c r="L195">
        <v>169.9</v>
      </c>
      <c r="M195" t="s">
        <v>20</v>
      </c>
      <c r="N195" t="s">
        <v>27</v>
      </c>
    </row>
    <row r="196" spans="1:14" x14ac:dyDescent="0.25">
      <c r="A196" t="s">
        <v>378</v>
      </c>
      <c r="B196" s="1">
        <v>46176.302430555559</v>
      </c>
      <c r="C196" t="s">
        <v>188</v>
      </c>
      <c r="D196" t="s">
        <v>54</v>
      </c>
      <c r="E196" t="s">
        <v>18</v>
      </c>
      <c r="F196" t="s">
        <v>135</v>
      </c>
      <c r="G196">
        <v>2</v>
      </c>
      <c r="H196">
        <v>89.9</v>
      </c>
      <c r="I196">
        <v>25</v>
      </c>
      <c r="J196">
        <v>179.8</v>
      </c>
      <c r="K196">
        <v>50</v>
      </c>
      <c r="L196">
        <v>129.80000000000001</v>
      </c>
      <c r="M196" t="s">
        <v>30</v>
      </c>
      <c r="N196" t="s">
        <v>21</v>
      </c>
    </row>
    <row r="197" spans="1:14" x14ac:dyDescent="0.25">
      <c r="A197" t="s">
        <v>379</v>
      </c>
      <c r="B197" s="1">
        <v>46272.231168981481</v>
      </c>
      <c r="C197" t="s">
        <v>140</v>
      </c>
      <c r="D197" t="s">
        <v>24</v>
      </c>
      <c r="E197" t="s">
        <v>50</v>
      </c>
      <c r="F197" t="s">
        <v>77</v>
      </c>
      <c r="G197">
        <v>1</v>
      </c>
      <c r="H197">
        <v>289.89999999999998</v>
      </c>
      <c r="I197">
        <v>95</v>
      </c>
      <c r="J197">
        <v>289.89999999999998</v>
      </c>
      <c r="K197">
        <v>95</v>
      </c>
      <c r="L197">
        <v>194.9</v>
      </c>
      <c r="M197" t="s">
        <v>30</v>
      </c>
      <c r="N197" t="s">
        <v>27</v>
      </c>
    </row>
    <row r="198" spans="1:14" x14ac:dyDescent="0.25">
      <c r="A198" t="s">
        <v>380</v>
      </c>
      <c r="B198" s="1">
        <v>46234.173530092594</v>
      </c>
      <c r="C198" t="s">
        <v>381</v>
      </c>
      <c r="D198" t="s">
        <v>24</v>
      </c>
      <c r="E198" t="s">
        <v>58</v>
      </c>
      <c r="F198" t="s">
        <v>59</v>
      </c>
      <c r="G198">
        <v>1</v>
      </c>
      <c r="H198">
        <v>249.9</v>
      </c>
      <c r="I198">
        <v>80</v>
      </c>
      <c r="J198">
        <v>249.9</v>
      </c>
      <c r="K198">
        <v>80</v>
      </c>
      <c r="L198">
        <v>169.9</v>
      </c>
      <c r="M198" t="s">
        <v>30</v>
      </c>
      <c r="N198" t="s">
        <v>27</v>
      </c>
    </row>
    <row r="199" spans="1:14" x14ac:dyDescent="0.25">
      <c r="A199" t="s">
        <v>382</v>
      </c>
      <c r="B199" s="1">
        <v>46232.388726851852</v>
      </c>
      <c r="C199" t="s">
        <v>122</v>
      </c>
      <c r="D199" t="s">
        <v>1</v>
      </c>
      <c r="E199" t="s">
        <v>50</v>
      </c>
      <c r="F199" t="s">
        <v>51</v>
      </c>
      <c r="G199">
        <v>1</v>
      </c>
      <c r="H199">
        <v>319.89999999999998</v>
      </c>
      <c r="I199">
        <v>105</v>
      </c>
      <c r="J199">
        <v>319.89999999999998</v>
      </c>
      <c r="K199">
        <v>105</v>
      </c>
      <c r="L199">
        <v>214.9</v>
      </c>
      <c r="M199" t="s">
        <v>30</v>
      </c>
      <c r="N199" t="s">
        <v>27</v>
      </c>
    </row>
    <row r="200" spans="1:14" x14ac:dyDescent="0.25">
      <c r="A200" t="s">
        <v>383</v>
      </c>
      <c r="B200" s="1">
        <v>46155.91915509259</v>
      </c>
      <c r="C200" t="s">
        <v>384</v>
      </c>
      <c r="D200" t="s">
        <v>39</v>
      </c>
      <c r="E200" t="s">
        <v>50</v>
      </c>
      <c r="F200" t="s">
        <v>84</v>
      </c>
      <c r="G200">
        <v>1</v>
      </c>
      <c r="H200">
        <v>259.89999999999998</v>
      </c>
      <c r="I200">
        <v>82</v>
      </c>
      <c r="J200">
        <v>259.89999999999998</v>
      </c>
      <c r="K200">
        <v>82</v>
      </c>
      <c r="L200">
        <v>177.9</v>
      </c>
      <c r="M200" t="s">
        <v>20</v>
      </c>
      <c r="N200" t="s">
        <v>27</v>
      </c>
    </row>
    <row r="201" spans="1:14" x14ac:dyDescent="0.25">
      <c r="A201" t="s">
        <v>385</v>
      </c>
      <c r="B201" s="1">
        <v>46296.173750000002</v>
      </c>
      <c r="C201" t="s">
        <v>325</v>
      </c>
      <c r="D201" t="s">
        <v>24</v>
      </c>
      <c r="E201" t="s">
        <v>18</v>
      </c>
      <c r="F201" t="s">
        <v>135</v>
      </c>
      <c r="G201">
        <v>1</v>
      </c>
      <c r="H201">
        <v>89.9</v>
      </c>
      <c r="I201">
        <v>25</v>
      </c>
      <c r="J201">
        <v>89.9</v>
      </c>
      <c r="K201">
        <v>25</v>
      </c>
      <c r="L201">
        <v>64.900000000000006</v>
      </c>
      <c r="M201" t="s">
        <v>43</v>
      </c>
      <c r="N201" t="s">
        <v>27</v>
      </c>
    </row>
    <row r="202" spans="1:14" x14ac:dyDescent="0.25">
      <c r="A202" t="s">
        <v>386</v>
      </c>
      <c r="B202" s="1">
        <v>46192.163981481484</v>
      </c>
      <c r="C202" t="s">
        <v>199</v>
      </c>
      <c r="D202" t="s">
        <v>24</v>
      </c>
      <c r="E202" t="s">
        <v>50</v>
      </c>
      <c r="F202" t="s">
        <v>77</v>
      </c>
      <c r="G202">
        <v>2</v>
      </c>
      <c r="H202">
        <v>289.89999999999998</v>
      </c>
      <c r="I202">
        <v>95</v>
      </c>
      <c r="J202">
        <v>579.79999999999995</v>
      </c>
      <c r="K202">
        <v>190</v>
      </c>
      <c r="L202">
        <v>389.8</v>
      </c>
      <c r="M202" t="s">
        <v>20</v>
      </c>
      <c r="N202" t="s">
        <v>27</v>
      </c>
    </row>
    <row r="203" spans="1:14" x14ac:dyDescent="0.25">
      <c r="A203" t="s">
        <v>387</v>
      </c>
      <c r="B203" s="1">
        <v>46192.873495370368</v>
      </c>
      <c r="C203" t="s">
        <v>29</v>
      </c>
      <c r="D203" t="s">
        <v>54</v>
      </c>
      <c r="E203" t="s">
        <v>50</v>
      </c>
      <c r="F203" t="s">
        <v>51</v>
      </c>
      <c r="G203">
        <v>2</v>
      </c>
      <c r="H203">
        <v>319.89999999999998</v>
      </c>
      <c r="I203">
        <v>105</v>
      </c>
      <c r="J203">
        <v>639.79999999999995</v>
      </c>
      <c r="K203">
        <v>210</v>
      </c>
      <c r="L203">
        <v>429.8</v>
      </c>
      <c r="M203" t="s">
        <v>30</v>
      </c>
      <c r="N203" t="s">
        <v>27</v>
      </c>
    </row>
    <row r="204" spans="1:14" x14ac:dyDescent="0.25">
      <c r="A204" t="s">
        <v>388</v>
      </c>
      <c r="B204" s="1">
        <v>46214.300868055558</v>
      </c>
      <c r="C204" t="s">
        <v>389</v>
      </c>
      <c r="D204" t="s">
        <v>24</v>
      </c>
      <c r="E204" t="s">
        <v>18</v>
      </c>
      <c r="F204" t="s">
        <v>19</v>
      </c>
      <c r="G204">
        <v>3</v>
      </c>
      <c r="H204">
        <v>129.9</v>
      </c>
      <c r="I204">
        <v>40</v>
      </c>
      <c r="J204">
        <v>389.7</v>
      </c>
      <c r="K204">
        <v>120</v>
      </c>
      <c r="L204">
        <v>269.7</v>
      </c>
      <c r="M204" t="s">
        <v>30</v>
      </c>
      <c r="N204" t="s">
        <v>27</v>
      </c>
    </row>
    <row r="205" spans="1:14" x14ac:dyDescent="0.25">
      <c r="A205" t="s">
        <v>390</v>
      </c>
      <c r="B205" s="1">
        <v>46289.951539351852</v>
      </c>
      <c r="C205" t="s">
        <v>391</v>
      </c>
      <c r="D205" t="s">
        <v>62</v>
      </c>
      <c r="E205" t="s">
        <v>25</v>
      </c>
      <c r="F205" t="s">
        <v>40</v>
      </c>
      <c r="G205">
        <v>1</v>
      </c>
      <c r="H205">
        <v>139.9</v>
      </c>
      <c r="I205">
        <v>45</v>
      </c>
      <c r="J205">
        <v>139.9</v>
      </c>
      <c r="K205">
        <v>45</v>
      </c>
      <c r="L205">
        <v>94.9</v>
      </c>
      <c r="M205" t="s">
        <v>43</v>
      </c>
      <c r="N205" t="s">
        <v>21</v>
      </c>
    </row>
    <row r="206" spans="1:14" x14ac:dyDescent="0.25">
      <c r="A206" t="s">
        <v>392</v>
      </c>
      <c r="B206" s="1">
        <v>46291.457511574074</v>
      </c>
      <c r="C206" t="s">
        <v>207</v>
      </c>
      <c r="D206" t="s">
        <v>54</v>
      </c>
      <c r="E206" t="s">
        <v>25</v>
      </c>
      <c r="F206" t="s">
        <v>40</v>
      </c>
      <c r="G206">
        <v>3</v>
      </c>
      <c r="H206">
        <v>139.9</v>
      </c>
      <c r="I206">
        <v>45</v>
      </c>
      <c r="J206">
        <v>419.7</v>
      </c>
      <c r="K206">
        <v>135</v>
      </c>
      <c r="L206">
        <v>284.7</v>
      </c>
      <c r="M206" t="s">
        <v>43</v>
      </c>
      <c r="N206" t="s">
        <v>44</v>
      </c>
    </row>
    <row r="207" spans="1:14" x14ac:dyDescent="0.25">
      <c r="A207" t="s">
        <v>393</v>
      </c>
      <c r="B207" s="1">
        <v>46257.062303240738</v>
      </c>
      <c r="C207" t="s">
        <v>394</v>
      </c>
      <c r="D207" t="s">
        <v>1</v>
      </c>
      <c r="E207" t="s">
        <v>58</v>
      </c>
      <c r="F207" t="s">
        <v>95</v>
      </c>
      <c r="G207">
        <v>2</v>
      </c>
      <c r="H207">
        <v>279.89999999999998</v>
      </c>
      <c r="I207">
        <v>90</v>
      </c>
      <c r="J207">
        <v>559.79999999999995</v>
      </c>
      <c r="K207">
        <v>180</v>
      </c>
      <c r="L207">
        <v>379.8</v>
      </c>
      <c r="M207" t="s">
        <v>30</v>
      </c>
      <c r="N207" t="s">
        <v>27</v>
      </c>
    </row>
    <row r="208" spans="1:14" x14ac:dyDescent="0.25">
      <c r="A208" t="s">
        <v>395</v>
      </c>
      <c r="B208" s="1">
        <v>46222.562164351853</v>
      </c>
      <c r="C208" t="s">
        <v>162</v>
      </c>
      <c r="D208" t="s">
        <v>24</v>
      </c>
      <c r="E208" t="s">
        <v>50</v>
      </c>
      <c r="F208" t="s">
        <v>84</v>
      </c>
      <c r="G208">
        <v>1</v>
      </c>
      <c r="H208">
        <v>259.89999999999998</v>
      </c>
      <c r="I208">
        <v>82</v>
      </c>
      <c r="J208">
        <v>259.89999999999998</v>
      </c>
      <c r="K208">
        <v>82</v>
      </c>
      <c r="L208">
        <v>177.9</v>
      </c>
      <c r="M208" t="s">
        <v>30</v>
      </c>
      <c r="N208" t="s">
        <v>21</v>
      </c>
    </row>
    <row r="209" spans="1:14" x14ac:dyDescent="0.25">
      <c r="A209" t="s">
        <v>396</v>
      </c>
      <c r="B209" s="1">
        <v>46278.517650462964</v>
      </c>
      <c r="C209" t="s">
        <v>397</v>
      </c>
      <c r="D209" t="s">
        <v>54</v>
      </c>
      <c r="E209" t="s">
        <v>25</v>
      </c>
      <c r="F209" t="s">
        <v>33</v>
      </c>
      <c r="G209">
        <v>2</v>
      </c>
      <c r="H209">
        <v>169.9</v>
      </c>
      <c r="I209">
        <v>55</v>
      </c>
      <c r="J209">
        <v>339.8</v>
      </c>
      <c r="K209">
        <v>110</v>
      </c>
      <c r="L209">
        <v>229.8</v>
      </c>
      <c r="M209" t="s">
        <v>30</v>
      </c>
      <c r="N209" t="s">
        <v>27</v>
      </c>
    </row>
    <row r="210" spans="1:14" x14ac:dyDescent="0.25">
      <c r="A210" t="s">
        <v>398</v>
      </c>
      <c r="B210" s="1">
        <v>46238.160104166665</v>
      </c>
      <c r="C210" t="s">
        <v>399</v>
      </c>
      <c r="D210" t="s">
        <v>36</v>
      </c>
      <c r="E210" t="s">
        <v>58</v>
      </c>
      <c r="F210" t="s">
        <v>73</v>
      </c>
      <c r="G210">
        <v>1</v>
      </c>
      <c r="H210">
        <v>219.9</v>
      </c>
      <c r="I210">
        <v>70</v>
      </c>
      <c r="J210">
        <v>219.9</v>
      </c>
      <c r="K210">
        <v>70</v>
      </c>
      <c r="L210">
        <v>149.9</v>
      </c>
      <c r="M210" t="s">
        <v>20</v>
      </c>
      <c r="N210" t="s">
        <v>27</v>
      </c>
    </row>
    <row r="211" spans="1:14" x14ac:dyDescent="0.25">
      <c r="A211" t="s">
        <v>400</v>
      </c>
      <c r="B211" s="1">
        <v>46275.697430555556</v>
      </c>
      <c r="C211" t="s">
        <v>160</v>
      </c>
      <c r="D211" t="s">
        <v>36</v>
      </c>
      <c r="E211" t="s">
        <v>25</v>
      </c>
      <c r="F211" t="s">
        <v>26</v>
      </c>
      <c r="G211">
        <v>1</v>
      </c>
      <c r="H211">
        <v>139.9</v>
      </c>
      <c r="I211">
        <v>45</v>
      </c>
      <c r="J211">
        <v>139.9</v>
      </c>
      <c r="K211">
        <v>45</v>
      </c>
      <c r="L211">
        <v>94.9</v>
      </c>
      <c r="M211" t="s">
        <v>20</v>
      </c>
      <c r="N211" t="s">
        <v>21</v>
      </c>
    </row>
    <row r="212" spans="1:14" x14ac:dyDescent="0.25">
      <c r="A212" t="s">
        <v>401</v>
      </c>
      <c r="B212" s="1">
        <v>46224.267199074071</v>
      </c>
      <c r="C212" t="s">
        <v>142</v>
      </c>
      <c r="D212" t="s">
        <v>76</v>
      </c>
      <c r="E212" t="s">
        <v>50</v>
      </c>
      <c r="F212" t="s">
        <v>84</v>
      </c>
      <c r="G212">
        <v>3</v>
      </c>
      <c r="H212">
        <v>259.89999999999998</v>
      </c>
      <c r="I212">
        <v>82</v>
      </c>
      <c r="J212">
        <v>779.7</v>
      </c>
      <c r="K212">
        <v>246</v>
      </c>
      <c r="L212">
        <v>533.70000000000005</v>
      </c>
      <c r="M212" t="s">
        <v>20</v>
      </c>
      <c r="N212" t="s">
        <v>67</v>
      </c>
    </row>
    <row r="213" spans="1:14" x14ac:dyDescent="0.25">
      <c r="A213" t="s">
        <v>402</v>
      </c>
      <c r="B213" s="1">
        <v>46279.409722222219</v>
      </c>
      <c r="C213" t="s">
        <v>403</v>
      </c>
      <c r="D213" t="s">
        <v>1</v>
      </c>
      <c r="E213" t="s">
        <v>58</v>
      </c>
      <c r="F213" t="s">
        <v>95</v>
      </c>
      <c r="G213">
        <v>1</v>
      </c>
      <c r="H213">
        <v>279.89999999999998</v>
      </c>
      <c r="I213">
        <v>90</v>
      </c>
      <c r="J213">
        <v>279.89999999999998</v>
      </c>
      <c r="K213">
        <v>90</v>
      </c>
      <c r="L213">
        <v>189.9</v>
      </c>
      <c r="M213" t="s">
        <v>30</v>
      </c>
      <c r="N213" t="s">
        <v>27</v>
      </c>
    </row>
    <row r="214" spans="1:14" x14ac:dyDescent="0.25">
      <c r="A214" t="s">
        <v>404</v>
      </c>
      <c r="B214" s="1">
        <v>46311.733472222222</v>
      </c>
      <c r="C214" t="s">
        <v>405</v>
      </c>
      <c r="D214" t="s">
        <v>76</v>
      </c>
      <c r="E214" t="s">
        <v>18</v>
      </c>
      <c r="F214" t="s">
        <v>222</v>
      </c>
      <c r="G214">
        <v>2</v>
      </c>
      <c r="H214">
        <v>79.900000000000006</v>
      </c>
      <c r="I214">
        <v>22</v>
      </c>
      <c r="J214">
        <v>159.80000000000001</v>
      </c>
      <c r="K214">
        <v>44</v>
      </c>
      <c r="L214">
        <v>115.8</v>
      </c>
      <c r="M214" t="s">
        <v>30</v>
      </c>
      <c r="N214" t="s">
        <v>27</v>
      </c>
    </row>
    <row r="215" spans="1:14" x14ac:dyDescent="0.25">
      <c r="A215" t="s">
        <v>406</v>
      </c>
      <c r="B215" s="1">
        <v>46300.898796296293</v>
      </c>
      <c r="C215" t="s">
        <v>99</v>
      </c>
      <c r="D215" t="s">
        <v>72</v>
      </c>
      <c r="E215" t="s">
        <v>25</v>
      </c>
      <c r="F215" t="s">
        <v>47</v>
      </c>
      <c r="G215">
        <v>1</v>
      </c>
      <c r="H215">
        <v>159.9</v>
      </c>
      <c r="I215">
        <v>52</v>
      </c>
      <c r="J215">
        <v>159.9</v>
      </c>
      <c r="K215">
        <v>52</v>
      </c>
      <c r="L215">
        <v>107.9</v>
      </c>
      <c r="M215" t="s">
        <v>30</v>
      </c>
      <c r="N215" t="s">
        <v>21</v>
      </c>
    </row>
    <row r="216" spans="1:14" x14ac:dyDescent="0.25">
      <c r="A216" t="s">
        <v>407</v>
      </c>
      <c r="B216" s="1">
        <v>46175.131469907406</v>
      </c>
      <c r="C216" t="s">
        <v>277</v>
      </c>
      <c r="D216" t="s">
        <v>24</v>
      </c>
      <c r="E216" t="s">
        <v>25</v>
      </c>
      <c r="F216" t="s">
        <v>33</v>
      </c>
      <c r="G216">
        <v>1</v>
      </c>
      <c r="H216">
        <v>169.9</v>
      </c>
      <c r="I216">
        <v>55</v>
      </c>
      <c r="J216">
        <v>169.9</v>
      </c>
      <c r="K216">
        <v>55</v>
      </c>
      <c r="L216">
        <v>114.9</v>
      </c>
      <c r="M216" t="s">
        <v>30</v>
      </c>
      <c r="N216" t="s">
        <v>67</v>
      </c>
    </row>
    <row r="217" spans="1:14" x14ac:dyDescent="0.25">
      <c r="A217" t="s">
        <v>408</v>
      </c>
      <c r="B217" s="1">
        <v>46175.704976851855</v>
      </c>
      <c r="C217" t="s">
        <v>409</v>
      </c>
      <c r="D217" t="s">
        <v>1</v>
      </c>
      <c r="E217" t="s">
        <v>25</v>
      </c>
      <c r="F217" t="s">
        <v>33</v>
      </c>
      <c r="G217">
        <v>2</v>
      </c>
      <c r="H217">
        <v>169.9</v>
      </c>
      <c r="I217">
        <v>55</v>
      </c>
      <c r="J217">
        <v>339.8</v>
      </c>
      <c r="K217">
        <v>110</v>
      </c>
      <c r="L217">
        <v>229.8</v>
      </c>
      <c r="M217" t="s">
        <v>30</v>
      </c>
      <c r="N217" t="s">
        <v>27</v>
      </c>
    </row>
    <row r="218" spans="1:14" x14ac:dyDescent="0.25">
      <c r="A218" t="s">
        <v>410</v>
      </c>
      <c r="B218" s="1">
        <v>46199.043530092589</v>
      </c>
      <c r="C218" t="s">
        <v>322</v>
      </c>
      <c r="D218" t="s">
        <v>39</v>
      </c>
      <c r="E218" t="s">
        <v>25</v>
      </c>
      <c r="F218" t="s">
        <v>47</v>
      </c>
      <c r="G218">
        <v>1</v>
      </c>
      <c r="H218">
        <v>159.9</v>
      </c>
      <c r="I218">
        <v>52</v>
      </c>
      <c r="J218">
        <v>159.9</v>
      </c>
      <c r="K218">
        <v>52</v>
      </c>
      <c r="L218">
        <v>107.9</v>
      </c>
      <c r="M218" t="s">
        <v>20</v>
      </c>
      <c r="N218" t="s">
        <v>67</v>
      </c>
    </row>
    <row r="219" spans="1:14" x14ac:dyDescent="0.25">
      <c r="A219" t="s">
        <v>411</v>
      </c>
      <c r="B219" s="1">
        <v>46159.739629629628</v>
      </c>
      <c r="C219" t="s">
        <v>167</v>
      </c>
      <c r="D219" t="s">
        <v>1</v>
      </c>
      <c r="E219" t="s">
        <v>50</v>
      </c>
      <c r="F219" t="s">
        <v>51</v>
      </c>
      <c r="G219">
        <v>1</v>
      </c>
      <c r="H219">
        <v>319.89999999999998</v>
      </c>
      <c r="I219">
        <v>105</v>
      </c>
      <c r="J219">
        <v>319.89999999999998</v>
      </c>
      <c r="K219">
        <v>105</v>
      </c>
      <c r="L219">
        <v>214.9</v>
      </c>
      <c r="M219" t="s">
        <v>43</v>
      </c>
      <c r="N219" t="s">
        <v>27</v>
      </c>
    </row>
    <row r="220" spans="1:14" x14ac:dyDescent="0.25">
      <c r="A220" t="s">
        <v>412</v>
      </c>
      <c r="B220" s="1">
        <v>46179.516296296293</v>
      </c>
      <c r="C220" t="s">
        <v>277</v>
      </c>
      <c r="D220" t="s">
        <v>57</v>
      </c>
      <c r="E220" t="s">
        <v>50</v>
      </c>
      <c r="F220" t="s">
        <v>84</v>
      </c>
      <c r="G220">
        <v>1</v>
      </c>
      <c r="H220">
        <v>259.89999999999998</v>
      </c>
      <c r="I220">
        <v>82</v>
      </c>
      <c r="J220">
        <v>259.89999999999998</v>
      </c>
      <c r="K220">
        <v>82</v>
      </c>
      <c r="L220">
        <v>177.9</v>
      </c>
      <c r="M220" t="s">
        <v>20</v>
      </c>
      <c r="N220" t="s">
        <v>21</v>
      </c>
    </row>
    <row r="221" spans="1:14" x14ac:dyDescent="0.25">
      <c r="A221" t="s">
        <v>413</v>
      </c>
      <c r="B221" s="1">
        <v>46292.419108796297</v>
      </c>
      <c r="C221" t="s">
        <v>414</v>
      </c>
      <c r="D221" t="s">
        <v>24</v>
      </c>
      <c r="E221" t="s">
        <v>25</v>
      </c>
      <c r="F221" t="s">
        <v>40</v>
      </c>
      <c r="G221">
        <v>1</v>
      </c>
      <c r="H221">
        <v>139.9</v>
      </c>
      <c r="I221">
        <v>45</v>
      </c>
      <c r="J221">
        <v>139.9</v>
      </c>
      <c r="K221">
        <v>45</v>
      </c>
      <c r="L221">
        <v>94.9</v>
      </c>
      <c r="M221" t="s">
        <v>20</v>
      </c>
      <c r="N221" t="s">
        <v>27</v>
      </c>
    </row>
    <row r="222" spans="1:14" x14ac:dyDescent="0.25">
      <c r="A222" t="s">
        <v>415</v>
      </c>
      <c r="B222" s="1">
        <v>46245.289837962962</v>
      </c>
      <c r="C222" t="s">
        <v>416</v>
      </c>
      <c r="D222" t="s">
        <v>24</v>
      </c>
      <c r="E222" t="s">
        <v>18</v>
      </c>
      <c r="F222" t="s">
        <v>135</v>
      </c>
      <c r="G222">
        <v>2</v>
      </c>
      <c r="H222">
        <v>89.9</v>
      </c>
      <c r="I222">
        <v>25</v>
      </c>
      <c r="J222">
        <v>179.8</v>
      </c>
      <c r="K222">
        <v>50</v>
      </c>
      <c r="L222">
        <v>129.80000000000001</v>
      </c>
      <c r="M222" t="s">
        <v>43</v>
      </c>
      <c r="N222" t="s">
        <v>44</v>
      </c>
    </row>
    <row r="223" spans="1:14" x14ac:dyDescent="0.25">
      <c r="A223" t="s">
        <v>417</v>
      </c>
      <c r="B223" s="1">
        <v>46297.616562499999</v>
      </c>
      <c r="C223" t="s">
        <v>137</v>
      </c>
      <c r="D223" t="s">
        <v>24</v>
      </c>
      <c r="E223" t="s">
        <v>25</v>
      </c>
      <c r="F223" t="s">
        <v>26</v>
      </c>
      <c r="G223">
        <v>2</v>
      </c>
      <c r="H223">
        <v>139.9</v>
      </c>
      <c r="I223">
        <v>45</v>
      </c>
      <c r="J223">
        <v>279.8</v>
      </c>
      <c r="K223">
        <v>90</v>
      </c>
      <c r="L223">
        <v>189.8</v>
      </c>
      <c r="M223" t="s">
        <v>20</v>
      </c>
      <c r="N223" t="s">
        <v>21</v>
      </c>
    </row>
    <row r="224" spans="1:14" x14ac:dyDescent="0.25">
      <c r="A224" t="s">
        <v>418</v>
      </c>
      <c r="B224" s="1">
        <v>46289.722245370373</v>
      </c>
      <c r="C224" t="s">
        <v>419</v>
      </c>
      <c r="D224" t="s">
        <v>39</v>
      </c>
      <c r="E224" t="s">
        <v>25</v>
      </c>
      <c r="F224" t="s">
        <v>33</v>
      </c>
      <c r="G224">
        <v>1</v>
      </c>
      <c r="H224">
        <v>169.9</v>
      </c>
      <c r="I224">
        <v>55</v>
      </c>
      <c r="J224">
        <v>169.9</v>
      </c>
      <c r="K224">
        <v>55</v>
      </c>
      <c r="L224">
        <v>114.9</v>
      </c>
      <c r="M224" t="s">
        <v>20</v>
      </c>
      <c r="N224" t="s">
        <v>27</v>
      </c>
    </row>
    <row r="225" spans="1:14" x14ac:dyDescent="0.25">
      <c r="A225" t="s">
        <v>420</v>
      </c>
      <c r="B225" s="1">
        <v>46227.02615740741</v>
      </c>
      <c r="C225" t="s">
        <v>35</v>
      </c>
      <c r="D225" t="s">
        <v>36</v>
      </c>
      <c r="E225" t="s">
        <v>25</v>
      </c>
      <c r="F225" t="s">
        <v>47</v>
      </c>
      <c r="G225">
        <v>2</v>
      </c>
      <c r="H225">
        <v>159.9</v>
      </c>
      <c r="I225">
        <v>52</v>
      </c>
      <c r="J225">
        <v>319.8</v>
      </c>
      <c r="K225">
        <v>104</v>
      </c>
      <c r="L225">
        <v>215.8</v>
      </c>
      <c r="M225" t="s">
        <v>30</v>
      </c>
      <c r="N225" t="s">
        <v>21</v>
      </c>
    </row>
    <row r="226" spans="1:14" x14ac:dyDescent="0.25">
      <c r="A226" t="s">
        <v>421</v>
      </c>
      <c r="B226" s="1">
        <v>46169.613483796296</v>
      </c>
      <c r="C226" t="s">
        <v>422</v>
      </c>
      <c r="D226" t="s">
        <v>76</v>
      </c>
      <c r="E226" t="s">
        <v>18</v>
      </c>
      <c r="F226" t="s">
        <v>135</v>
      </c>
      <c r="G226">
        <v>2</v>
      </c>
      <c r="H226">
        <v>89.9</v>
      </c>
      <c r="I226">
        <v>25</v>
      </c>
      <c r="J226">
        <v>179.8</v>
      </c>
      <c r="K226">
        <v>50</v>
      </c>
      <c r="L226">
        <v>129.80000000000001</v>
      </c>
      <c r="M226" t="s">
        <v>20</v>
      </c>
      <c r="N226" t="s">
        <v>27</v>
      </c>
    </row>
    <row r="227" spans="1:14" x14ac:dyDescent="0.25">
      <c r="A227" t="s">
        <v>423</v>
      </c>
      <c r="B227" s="1">
        <v>46191.882233796299</v>
      </c>
      <c r="C227" t="s">
        <v>86</v>
      </c>
      <c r="D227" t="s">
        <v>36</v>
      </c>
      <c r="E227" t="s">
        <v>25</v>
      </c>
      <c r="F227" t="s">
        <v>33</v>
      </c>
      <c r="G227">
        <v>1</v>
      </c>
      <c r="H227">
        <v>169.9</v>
      </c>
      <c r="I227">
        <v>55</v>
      </c>
      <c r="J227">
        <v>169.9</v>
      </c>
      <c r="K227">
        <v>55</v>
      </c>
      <c r="L227">
        <v>114.9</v>
      </c>
      <c r="M227" t="s">
        <v>30</v>
      </c>
      <c r="N227" t="s">
        <v>21</v>
      </c>
    </row>
    <row r="228" spans="1:14" x14ac:dyDescent="0.25">
      <c r="A228" t="s">
        <v>424</v>
      </c>
      <c r="B228" s="1">
        <v>46254.80541666667</v>
      </c>
      <c r="C228" t="s">
        <v>394</v>
      </c>
      <c r="D228" t="s">
        <v>72</v>
      </c>
      <c r="E228" t="s">
        <v>50</v>
      </c>
      <c r="F228" t="s">
        <v>51</v>
      </c>
      <c r="G228">
        <v>1</v>
      </c>
      <c r="H228">
        <v>319.89999999999998</v>
      </c>
      <c r="I228">
        <v>105</v>
      </c>
      <c r="J228">
        <v>319.89999999999998</v>
      </c>
      <c r="K228">
        <v>105</v>
      </c>
      <c r="L228">
        <v>214.9</v>
      </c>
      <c r="M228" t="s">
        <v>30</v>
      </c>
      <c r="N228" t="s">
        <v>27</v>
      </c>
    </row>
    <row r="229" spans="1:14" x14ac:dyDescent="0.25">
      <c r="A229" t="s">
        <v>425</v>
      </c>
      <c r="B229" s="1">
        <v>46303.834953703707</v>
      </c>
      <c r="C229" t="s">
        <v>426</v>
      </c>
      <c r="D229" t="s">
        <v>24</v>
      </c>
      <c r="E229" t="s">
        <v>58</v>
      </c>
      <c r="F229" t="s">
        <v>73</v>
      </c>
      <c r="G229">
        <v>1</v>
      </c>
      <c r="H229">
        <v>219.9</v>
      </c>
      <c r="I229">
        <v>70</v>
      </c>
      <c r="J229">
        <v>219.9</v>
      </c>
      <c r="K229">
        <v>70</v>
      </c>
      <c r="L229">
        <v>149.9</v>
      </c>
      <c r="M229" t="s">
        <v>30</v>
      </c>
      <c r="N229" t="s">
        <v>27</v>
      </c>
    </row>
    <row r="230" spans="1:14" x14ac:dyDescent="0.25">
      <c r="A230" t="s">
        <v>427</v>
      </c>
      <c r="B230" s="1">
        <v>46292.688344907408</v>
      </c>
      <c r="C230" t="s">
        <v>362</v>
      </c>
      <c r="D230" t="s">
        <v>39</v>
      </c>
      <c r="E230" t="s">
        <v>25</v>
      </c>
      <c r="F230" t="s">
        <v>47</v>
      </c>
      <c r="G230">
        <v>2</v>
      </c>
      <c r="H230">
        <v>159.9</v>
      </c>
      <c r="I230">
        <v>52</v>
      </c>
      <c r="J230">
        <v>319.8</v>
      </c>
      <c r="K230">
        <v>104</v>
      </c>
      <c r="L230">
        <v>215.8</v>
      </c>
      <c r="M230" t="s">
        <v>20</v>
      </c>
      <c r="N230" t="s">
        <v>27</v>
      </c>
    </row>
    <row r="231" spans="1:14" x14ac:dyDescent="0.25">
      <c r="A231" t="s">
        <v>428</v>
      </c>
      <c r="B231" s="1">
        <v>46177.349733796298</v>
      </c>
      <c r="C231" t="s">
        <v>155</v>
      </c>
      <c r="D231" t="s">
        <v>76</v>
      </c>
      <c r="E231" t="s">
        <v>58</v>
      </c>
      <c r="F231" t="s">
        <v>95</v>
      </c>
      <c r="G231">
        <v>2</v>
      </c>
      <c r="H231">
        <v>279.89999999999998</v>
      </c>
      <c r="I231">
        <v>90</v>
      </c>
      <c r="J231">
        <v>559.79999999999995</v>
      </c>
      <c r="K231">
        <v>180</v>
      </c>
      <c r="L231">
        <v>379.8</v>
      </c>
      <c r="M231" t="s">
        <v>20</v>
      </c>
      <c r="N231" t="s">
        <v>27</v>
      </c>
    </row>
    <row r="232" spans="1:14" x14ac:dyDescent="0.25">
      <c r="A232" t="s">
        <v>429</v>
      </c>
      <c r="B232" s="1">
        <v>46162.478692129633</v>
      </c>
      <c r="C232" t="s">
        <v>155</v>
      </c>
      <c r="D232" t="s">
        <v>72</v>
      </c>
      <c r="E232" t="s">
        <v>58</v>
      </c>
      <c r="F232" t="s">
        <v>95</v>
      </c>
      <c r="G232">
        <v>2</v>
      </c>
      <c r="H232">
        <v>279.89999999999998</v>
      </c>
      <c r="I232">
        <v>90</v>
      </c>
      <c r="J232">
        <v>559.79999999999995</v>
      </c>
      <c r="K232">
        <v>180</v>
      </c>
      <c r="L232">
        <v>379.8</v>
      </c>
      <c r="M232" t="s">
        <v>20</v>
      </c>
      <c r="N232" t="s">
        <v>27</v>
      </c>
    </row>
    <row r="233" spans="1:14" x14ac:dyDescent="0.25">
      <c r="A233" t="s">
        <v>430</v>
      </c>
      <c r="B233" s="1">
        <v>46250.280868055554</v>
      </c>
      <c r="C233" t="s">
        <v>300</v>
      </c>
      <c r="D233" t="s">
        <v>72</v>
      </c>
      <c r="E233" t="s">
        <v>25</v>
      </c>
      <c r="F233" t="s">
        <v>26</v>
      </c>
      <c r="G233">
        <v>2</v>
      </c>
      <c r="H233">
        <v>139.9</v>
      </c>
      <c r="I233">
        <v>45</v>
      </c>
      <c r="J233">
        <v>279.8</v>
      </c>
      <c r="K233">
        <v>90</v>
      </c>
      <c r="L233">
        <v>189.8</v>
      </c>
      <c r="M233" t="s">
        <v>20</v>
      </c>
      <c r="N233" t="s">
        <v>21</v>
      </c>
    </row>
    <row r="234" spans="1:14" x14ac:dyDescent="0.25">
      <c r="A234" t="s">
        <v>431</v>
      </c>
      <c r="B234" s="1">
        <v>46302.734537037039</v>
      </c>
      <c r="C234" t="s">
        <v>432</v>
      </c>
      <c r="D234" t="s">
        <v>39</v>
      </c>
      <c r="E234" t="s">
        <v>25</v>
      </c>
      <c r="F234" t="s">
        <v>47</v>
      </c>
      <c r="G234">
        <v>1</v>
      </c>
      <c r="H234">
        <v>159.9</v>
      </c>
      <c r="I234">
        <v>52</v>
      </c>
      <c r="J234">
        <v>159.9</v>
      </c>
      <c r="K234">
        <v>52</v>
      </c>
      <c r="L234">
        <v>107.9</v>
      </c>
      <c r="M234" t="s">
        <v>20</v>
      </c>
      <c r="N234" t="s">
        <v>21</v>
      </c>
    </row>
    <row r="235" spans="1:14" x14ac:dyDescent="0.25">
      <c r="A235" t="s">
        <v>433</v>
      </c>
      <c r="B235" s="1">
        <v>46138.294479166667</v>
      </c>
      <c r="C235" t="s">
        <v>124</v>
      </c>
      <c r="D235" t="s">
        <v>39</v>
      </c>
      <c r="E235" t="s">
        <v>58</v>
      </c>
      <c r="F235" t="s">
        <v>59</v>
      </c>
      <c r="G235">
        <v>1</v>
      </c>
      <c r="H235">
        <v>249.9</v>
      </c>
      <c r="I235">
        <v>80</v>
      </c>
      <c r="J235">
        <v>249.9</v>
      </c>
      <c r="K235">
        <v>80</v>
      </c>
      <c r="L235">
        <v>169.9</v>
      </c>
      <c r="M235" t="s">
        <v>30</v>
      </c>
      <c r="N235" t="s">
        <v>21</v>
      </c>
    </row>
    <row r="236" spans="1:14" x14ac:dyDescent="0.25">
      <c r="A236" t="s">
        <v>434</v>
      </c>
      <c r="B236" s="1">
        <v>46205.272210648145</v>
      </c>
      <c r="C236" t="s">
        <v>303</v>
      </c>
      <c r="D236" t="s">
        <v>36</v>
      </c>
      <c r="E236" t="s">
        <v>18</v>
      </c>
      <c r="F236" t="s">
        <v>135</v>
      </c>
      <c r="G236">
        <v>1</v>
      </c>
      <c r="H236">
        <v>89.9</v>
      </c>
      <c r="I236">
        <v>25</v>
      </c>
      <c r="J236">
        <v>89.9</v>
      </c>
      <c r="K236">
        <v>25</v>
      </c>
      <c r="L236">
        <v>64.900000000000006</v>
      </c>
      <c r="M236" t="s">
        <v>30</v>
      </c>
      <c r="N236" t="s">
        <v>27</v>
      </c>
    </row>
    <row r="237" spans="1:14" x14ac:dyDescent="0.25">
      <c r="A237" t="s">
        <v>435</v>
      </c>
      <c r="B237" s="1">
        <v>46294.810300925928</v>
      </c>
      <c r="C237" t="s">
        <v>436</v>
      </c>
      <c r="D237" t="s">
        <v>36</v>
      </c>
      <c r="E237" t="s">
        <v>58</v>
      </c>
      <c r="F237" t="s">
        <v>73</v>
      </c>
      <c r="G237">
        <v>1</v>
      </c>
      <c r="H237">
        <v>219.9</v>
      </c>
      <c r="I237">
        <v>70</v>
      </c>
      <c r="J237">
        <v>219.9</v>
      </c>
      <c r="K237">
        <v>70</v>
      </c>
      <c r="L237">
        <v>149.9</v>
      </c>
      <c r="M237" t="s">
        <v>20</v>
      </c>
      <c r="N237" t="s">
        <v>27</v>
      </c>
    </row>
    <row r="238" spans="1:14" x14ac:dyDescent="0.25">
      <c r="A238" t="s">
        <v>437</v>
      </c>
      <c r="B238" s="1">
        <v>46124.082708333335</v>
      </c>
      <c r="C238" t="s">
        <v>69</v>
      </c>
      <c r="D238" t="s">
        <v>57</v>
      </c>
      <c r="E238" t="s">
        <v>25</v>
      </c>
      <c r="F238" t="s">
        <v>47</v>
      </c>
      <c r="G238">
        <v>1</v>
      </c>
      <c r="H238">
        <v>159.9</v>
      </c>
      <c r="I238">
        <v>52</v>
      </c>
      <c r="J238">
        <v>159.9</v>
      </c>
      <c r="K238">
        <v>52</v>
      </c>
      <c r="L238">
        <v>107.9</v>
      </c>
      <c r="M238" t="s">
        <v>43</v>
      </c>
      <c r="N238" t="s">
        <v>27</v>
      </c>
    </row>
    <row r="239" spans="1:14" x14ac:dyDescent="0.25">
      <c r="A239" t="s">
        <v>438</v>
      </c>
      <c r="B239" s="1">
        <v>46291.191562499997</v>
      </c>
      <c r="C239" t="s">
        <v>439</v>
      </c>
      <c r="D239" t="s">
        <v>62</v>
      </c>
      <c r="E239" t="s">
        <v>50</v>
      </c>
      <c r="F239" t="s">
        <v>51</v>
      </c>
      <c r="G239">
        <v>1</v>
      </c>
      <c r="H239">
        <v>319.89999999999998</v>
      </c>
      <c r="I239">
        <v>105</v>
      </c>
      <c r="J239">
        <v>319.89999999999998</v>
      </c>
      <c r="K239">
        <v>105</v>
      </c>
      <c r="L239">
        <v>214.9</v>
      </c>
      <c r="M239" t="s">
        <v>30</v>
      </c>
      <c r="N239" t="s">
        <v>27</v>
      </c>
    </row>
    <row r="240" spans="1:14" x14ac:dyDescent="0.25">
      <c r="A240" t="s">
        <v>440</v>
      </c>
      <c r="B240" s="1">
        <v>46139.018599537034</v>
      </c>
      <c r="C240" t="s">
        <v>441</v>
      </c>
      <c r="D240" t="s">
        <v>24</v>
      </c>
      <c r="E240" t="s">
        <v>50</v>
      </c>
      <c r="F240" t="s">
        <v>51</v>
      </c>
      <c r="G240">
        <v>1</v>
      </c>
      <c r="H240">
        <v>319.89999999999998</v>
      </c>
      <c r="I240">
        <v>105</v>
      </c>
      <c r="J240">
        <v>319.89999999999998</v>
      </c>
      <c r="K240">
        <v>105</v>
      </c>
      <c r="L240">
        <v>214.9</v>
      </c>
      <c r="M240" t="s">
        <v>20</v>
      </c>
      <c r="N240" t="s">
        <v>21</v>
      </c>
    </row>
    <row r="241" spans="1:14" x14ac:dyDescent="0.25">
      <c r="A241" t="s">
        <v>442</v>
      </c>
      <c r="B241" s="1">
        <v>46233.726226851853</v>
      </c>
      <c r="C241" t="s">
        <v>341</v>
      </c>
      <c r="D241" t="s">
        <v>76</v>
      </c>
      <c r="E241" t="s">
        <v>18</v>
      </c>
      <c r="F241" t="s">
        <v>222</v>
      </c>
      <c r="G241">
        <v>3</v>
      </c>
      <c r="H241">
        <v>79.900000000000006</v>
      </c>
      <c r="I241">
        <v>22</v>
      </c>
      <c r="J241">
        <v>239.7</v>
      </c>
      <c r="K241">
        <v>66</v>
      </c>
      <c r="L241">
        <v>173.7</v>
      </c>
      <c r="M241" t="s">
        <v>20</v>
      </c>
      <c r="N241" t="s">
        <v>21</v>
      </c>
    </row>
    <row r="242" spans="1:14" x14ac:dyDescent="0.25">
      <c r="A242" t="s">
        <v>443</v>
      </c>
      <c r="B242" s="1">
        <v>46160.077939814815</v>
      </c>
      <c r="C242" t="s">
        <v>242</v>
      </c>
      <c r="D242" t="s">
        <v>72</v>
      </c>
      <c r="E242" t="s">
        <v>25</v>
      </c>
      <c r="F242" t="s">
        <v>33</v>
      </c>
      <c r="G242">
        <v>1</v>
      </c>
      <c r="H242">
        <v>169.9</v>
      </c>
      <c r="I242">
        <v>55</v>
      </c>
      <c r="J242">
        <v>169.9</v>
      </c>
      <c r="K242">
        <v>55</v>
      </c>
      <c r="L242">
        <v>114.9</v>
      </c>
      <c r="M242" t="s">
        <v>30</v>
      </c>
      <c r="N242" t="s">
        <v>27</v>
      </c>
    </row>
    <row r="243" spans="1:14" x14ac:dyDescent="0.25">
      <c r="A243" t="s">
        <v>444</v>
      </c>
      <c r="B243" s="1">
        <v>46142.099120370367</v>
      </c>
      <c r="C243" t="s">
        <v>445</v>
      </c>
      <c r="D243" t="s">
        <v>39</v>
      </c>
      <c r="E243" t="s">
        <v>50</v>
      </c>
      <c r="F243" t="s">
        <v>51</v>
      </c>
      <c r="G243">
        <v>1</v>
      </c>
      <c r="H243">
        <v>319.89999999999998</v>
      </c>
      <c r="I243">
        <v>105</v>
      </c>
      <c r="J243">
        <v>319.89999999999998</v>
      </c>
      <c r="K243">
        <v>105</v>
      </c>
      <c r="L243">
        <v>214.9</v>
      </c>
      <c r="M243" t="s">
        <v>30</v>
      </c>
      <c r="N243" t="s">
        <v>67</v>
      </c>
    </row>
    <row r="244" spans="1:14" x14ac:dyDescent="0.25">
      <c r="A244" t="s">
        <v>446</v>
      </c>
      <c r="B244" s="1">
        <v>46131.875358796293</v>
      </c>
      <c r="C244" t="s">
        <v>447</v>
      </c>
      <c r="D244" t="s">
        <v>1</v>
      </c>
      <c r="E244" t="s">
        <v>50</v>
      </c>
      <c r="F244" t="s">
        <v>84</v>
      </c>
      <c r="G244">
        <v>1</v>
      </c>
      <c r="H244">
        <v>259.89999999999998</v>
      </c>
      <c r="I244">
        <v>82</v>
      </c>
      <c r="J244">
        <v>259.89999999999998</v>
      </c>
      <c r="K244">
        <v>82</v>
      </c>
      <c r="L244">
        <v>177.9</v>
      </c>
      <c r="M244" t="s">
        <v>20</v>
      </c>
      <c r="N244" t="s">
        <v>27</v>
      </c>
    </row>
    <row r="245" spans="1:14" x14ac:dyDescent="0.25">
      <c r="A245" t="s">
        <v>448</v>
      </c>
      <c r="B245" s="1">
        <v>46126.230173611111</v>
      </c>
      <c r="C245" t="s">
        <v>449</v>
      </c>
      <c r="D245" t="s">
        <v>24</v>
      </c>
      <c r="E245" t="s">
        <v>25</v>
      </c>
      <c r="F245" t="s">
        <v>47</v>
      </c>
      <c r="G245">
        <v>2</v>
      </c>
      <c r="H245">
        <v>159.9</v>
      </c>
      <c r="I245">
        <v>52</v>
      </c>
      <c r="J245">
        <v>319.8</v>
      </c>
      <c r="K245">
        <v>104</v>
      </c>
      <c r="L245">
        <v>215.8</v>
      </c>
      <c r="M245" t="s">
        <v>20</v>
      </c>
      <c r="N245" t="s">
        <v>27</v>
      </c>
    </row>
    <row r="246" spans="1:14" x14ac:dyDescent="0.25">
      <c r="A246" t="s">
        <v>450</v>
      </c>
      <c r="B246" s="1">
        <v>46134.376504629632</v>
      </c>
      <c r="C246" t="s">
        <v>155</v>
      </c>
      <c r="D246" t="s">
        <v>57</v>
      </c>
      <c r="E246" t="s">
        <v>25</v>
      </c>
      <c r="F246" t="s">
        <v>33</v>
      </c>
      <c r="G246">
        <v>1</v>
      </c>
      <c r="H246">
        <v>169.9</v>
      </c>
      <c r="I246">
        <v>55</v>
      </c>
      <c r="J246">
        <v>169.9</v>
      </c>
      <c r="K246">
        <v>55</v>
      </c>
      <c r="L246">
        <v>114.9</v>
      </c>
      <c r="M246" t="s">
        <v>43</v>
      </c>
      <c r="N246" t="s">
        <v>27</v>
      </c>
    </row>
    <row r="247" spans="1:14" x14ac:dyDescent="0.25">
      <c r="A247" t="s">
        <v>451</v>
      </c>
      <c r="B247" s="1">
        <v>46268.904340277775</v>
      </c>
      <c r="C247" t="s">
        <v>452</v>
      </c>
      <c r="D247" t="s">
        <v>54</v>
      </c>
      <c r="E247" t="s">
        <v>25</v>
      </c>
      <c r="F247" t="s">
        <v>26</v>
      </c>
      <c r="G247">
        <v>1</v>
      </c>
      <c r="H247">
        <v>139.9</v>
      </c>
      <c r="I247">
        <v>45</v>
      </c>
      <c r="J247">
        <v>139.9</v>
      </c>
      <c r="K247">
        <v>45</v>
      </c>
      <c r="L247">
        <v>94.9</v>
      </c>
      <c r="M247" t="s">
        <v>43</v>
      </c>
      <c r="N247" t="s">
        <v>27</v>
      </c>
    </row>
    <row r="248" spans="1:14" x14ac:dyDescent="0.25">
      <c r="A248" t="s">
        <v>453</v>
      </c>
      <c r="B248" s="1">
        <v>46311.792754629627</v>
      </c>
      <c r="C248" t="s">
        <v>92</v>
      </c>
      <c r="D248" t="s">
        <v>62</v>
      </c>
      <c r="E248" t="s">
        <v>25</v>
      </c>
      <c r="F248" t="s">
        <v>33</v>
      </c>
      <c r="G248">
        <v>1</v>
      </c>
      <c r="H248">
        <v>169.9</v>
      </c>
      <c r="I248">
        <v>55</v>
      </c>
      <c r="J248">
        <v>169.9</v>
      </c>
      <c r="K248">
        <v>55</v>
      </c>
      <c r="L248">
        <v>114.9</v>
      </c>
      <c r="M248" t="s">
        <v>30</v>
      </c>
      <c r="N248" t="s">
        <v>27</v>
      </c>
    </row>
    <row r="249" spans="1:14" x14ac:dyDescent="0.25">
      <c r="A249" t="s">
        <v>454</v>
      </c>
      <c r="B249" s="1">
        <v>46226.45108796296</v>
      </c>
      <c r="C249" t="s">
        <v>455</v>
      </c>
      <c r="D249" t="s">
        <v>1</v>
      </c>
      <c r="E249" t="s">
        <v>58</v>
      </c>
      <c r="F249" t="s">
        <v>95</v>
      </c>
      <c r="G249">
        <v>1</v>
      </c>
      <c r="H249">
        <v>279.89999999999998</v>
      </c>
      <c r="I249">
        <v>90</v>
      </c>
      <c r="J249">
        <v>279.89999999999998</v>
      </c>
      <c r="K249">
        <v>90</v>
      </c>
      <c r="L249">
        <v>189.9</v>
      </c>
      <c r="M249" t="s">
        <v>43</v>
      </c>
      <c r="N249" t="s">
        <v>27</v>
      </c>
    </row>
    <row r="250" spans="1:14" x14ac:dyDescent="0.25">
      <c r="A250" t="s">
        <v>456</v>
      </c>
      <c r="B250" s="1">
        <v>46222.463263888887</v>
      </c>
      <c r="C250" t="s">
        <v>409</v>
      </c>
      <c r="D250" t="s">
        <v>76</v>
      </c>
      <c r="E250" t="s">
        <v>58</v>
      </c>
      <c r="F250" t="s">
        <v>95</v>
      </c>
      <c r="G250">
        <v>2</v>
      </c>
      <c r="H250">
        <v>279.89999999999998</v>
      </c>
      <c r="I250">
        <v>90</v>
      </c>
      <c r="J250">
        <v>559.79999999999995</v>
      </c>
      <c r="K250">
        <v>180</v>
      </c>
      <c r="L250">
        <v>379.8</v>
      </c>
      <c r="M250" t="s">
        <v>20</v>
      </c>
      <c r="N250" t="s">
        <v>27</v>
      </c>
    </row>
    <row r="251" spans="1:14" x14ac:dyDescent="0.25">
      <c r="A251" t="s">
        <v>457</v>
      </c>
      <c r="B251" s="1">
        <v>46128.924826388888</v>
      </c>
      <c r="C251" t="s">
        <v>458</v>
      </c>
      <c r="D251" t="s">
        <v>54</v>
      </c>
      <c r="E251" t="s">
        <v>25</v>
      </c>
      <c r="F251" t="s">
        <v>40</v>
      </c>
      <c r="G251">
        <v>1</v>
      </c>
      <c r="H251">
        <v>139.9</v>
      </c>
      <c r="I251">
        <v>45</v>
      </c>
      <c r="J251">
        <v>139.9</v>
      </c>
      <c r="K251">
        <v>45</v>
      </c>
      <c r="L251">
        <v>94.9</v>
      </c>
      <c r="M251" t="s">
        <v>43</v>
      </c>
      <c r="N251" t="s">
        <v>67</v>
      </c>
    </row>
    <row r="252" spans="1:14" x14ac:dyDescent="0.25">
      <c r="A252" t="s">
        <v>459</v>
      </c>
      <c r="B252" s="1">
        <v>46308.31521990741</v>
      </c>
      <c r="C252" t="s">
        <v>113</v>
      </c>
      <c r="D252" t="s">
        <v>39</v>
      </c>
      <c r="E252" t="s">
        <v>50</v>
      </c>
      <c r="F252" t="s">
        <v>77</v>
      </c>
      <c r="G252">
        <v>1</v>
      </c>
      <c r="H252">
        <v>289.89999999999998</v>
      </c>
      <c r="I252">
        <v>95</v>
      </c>
      <c r="J252">
        <v>289.89999999999998</v>
      </c>
      <c r="K252">
        <v>95</v>
      </c>
      <c r="L252">
        <v>194.9</v>
      </c>
      <c r="M252" t="s">
        <v>30</v>
      </c>
      <c r="N252" t="s">
        <v>27</v>
      </c>
    </row>
    <row r="253" spans="1:14" x14ac:dyDescent="0.25">
      <c r="A253" t="s">
        <v>460</v>
      </c>
      <c r="B253" s="1">
        <v>46180.123159722221</v>
      </c>
      <c r="C253" t="s">
        <v>205</v>
      </c>
      <c r="D253" t="s">
        <v>1</v>
      </c>
      <c r="E253" t="s">
        <v>25</v>
      </c>
      <c r="F253" t="s">
        <v>26</v>
      </c>
      <c r="G253">
        <v>1</v>
      </c>
      <c r="H253">
        <v>139.9</v>
      </c>
      <c r="I253">
        <v>45</v>
      </c>
      <c r="J253">
        <v>139.9</v>
      </c>
      <c r="K253">
        <v>45</v>
      </c>
      <c r="L253">
        <v>94.9</v>
      </c>
      <c r="M253" t="s">
        <v>30</v>
      </c>
      <c r="N253" t="s">
        <v>27</v>
      </c>
    </row>
    <row r="254" spans="1:14" x14ac:dyDescent="0.25">
      <c r="A254" t="s">
        <v>461</v>
      </c>
      <c r="B254" s="1">
        <v>46157.837384259263</v>
      </c>
      <c r="C254" t="s">
        <v>389</v>
      </c>
      <c r="D254" t="s">
        <v>24</v>
      </c>
      <c r="E254" t="s">
        <v>58</v>
      </c>
      <c r="F254" t="s">
        <v>59</v>
      </c>
      <c r="G254">
        <v>1</v>
      </c>
      <c r="H254">
        <v>249.9</v>
      </c>
      <c r="I254">
        <v>80</v>
      </c>
      <c r="J254">
        <v>249.9</v>
      </c>
      <c r="K254">
        <v>80</v>
      </c>
      <c r="L254">
        <v>169.9</v>
      </c>
      <c r="M254" t="s">
        <v>30</v>
      </c>
      <c r="N254" t="s">
        <v>21</v>
      </c>
    </row>
    <row r="255" spans="1:14" x14ac:dyDescent="0.25">
      <c r="A255" t="s">
        <v>462</v>
      </c>
      <c r="B255" s="1">
        <v>46113.619733796295</v>
      </c>
      <c r="C255" t="s">
        <v>336</v>
      </c>
      <c r="D255" t="s">
        <v>24</v>
      </c>
      <c r="E255" t="s">
        <v>25</v>
      </c>
      <c r="F255" t="s">
        <v>33</v>
      </c>
      <c r="G255">
        <v>1</v>
      </c>
      <c r="H255">
        <v>169.9</v>
      </c>
      <c r="I255">
        <v>55</v>
      </c>
      <c r="J255">
        <v>169.9</v>
      </c>
      <c r="K255">
        <v>55</v>
      </c>
      <c r="L255">
        <v>114.9</v>
      </c>
      <c r="M255" t="s">
        <v>20</v>
      </c>
      <c r="N255" t="s">
        <v>27</v>
      </c>
    </row>
    <row r="256" spans="1:14" x14ac:dyDescent="0.25">
      <c r="A256" t="s">
        <v>463</v>
      </c>
      <c r="B256" s="1">
        <v>46187.049513888887</v>
      </c>
      <c r="C256" t="s">
        <v>347</v>
      </c>
      <c r="D256" t="s">
        <v>54</v>
      </c>
      <c r="E256" t="s">
        <v>58</v>
      </c>
      <c r="F256" t="s">
        <v>73</v>
      </c>
      <c r="G256">
        <v>2</v>
      </c>
      <c r="H256">
        <v>219.9</v>
      </c>
      <c r="I256">
        <v>70</v>
      </c>
      <c r="J256">
        <v>439.8</v>
      </c>
      <c r="K256">
        <v>140</v>
      </c>
      <c r="L256">
        <v>299.8</v>
      </c>
      <c r="M256" t="s">
        <v>30</v>
      </c>
      <c r="N256" t="s">
        <v>27</v>
      </c>
    </row>
    <row r="257" spans="1:14" x14ac:dyDescent="0.25">
      <c r="A257" t="s">
        <v>464</v>
      </c>
      <c r="B257" s="1">
        <v>46293.428888888891</v>
      </c>
      <c r="C257" t="s">
        <v>88</v>
      </c>
      <c r="D257" t="s">
        <v>24</v>
      </c>
      <c r="E257" t="s">
        <v>25</v>
      </c>
      <c r="F257" t="s">
        <v>33</v>
      </c>
      <c r="G257">
        <v>4</v>
      </c>
      <c r="H257">
        <v>169.9</v>
      </c>
      <c r="I257">
        <v>55</v>
      </c>
      <c r="J257">
        <v>679.6</v>
      </c>
      <c r="K257">
        <v>220</v>
      </c>
      <c r="L257">
        <v>459.6</v>
      </c>
      <c r="M257" t="s">
        <v>30</v>
      </c>
      <c r="N257" t="s">
        <v>27</v>
      </c>
    </row>
    <row r="258" spans="1:14" x14ac:dyDescent="0.25">
      <c r="A258" t="s">
        <v>465</v>
      </c>
      <c r="B258" s="1">
        <v>46131.354108796295</v>
      </c>
      <c r="C258" t="s">
        <v>262</v>
      </c>
      <c r="D258" t="s">
        <v>36</v>
      </c>
      <c r="E258" t="s">
        <v>58</v>
      </c>
      <c r="F258" t="s">
        <v>73</v>
      </c>
      <c r="G258">
        <v>1</v>
      </c>
      <c r="H258">
        <v>219.9</v>
      </c>
      <c r="I258">
        <v>70</v>
      </c>
      <c r="J258">
        <v>219.9</v>
      </c>
      <c r="K258">
        <v>70</v>
      </c>
      <c r="L258">
        <v>149.9</v>
      </c>
      <c r="M258" t="s">
        <v>30</v>
      </c>
      <c r="N258" t="s">
        <v>27</v>
      </c>
    </row>
    <row r="259" spans="1:14" x14ac:dyDescent="0.25">
      <c r="A259" t="s">
        <v>466</v>
      </c>
      <c r="B259" s="1">
        <v>46314.948229166665</v>
      </c>
      <c r="C259" t="s">
        <v>46</v>
      </c>
      <c r="D259" t="s">
        <v>36</v>
      </c>
      <c r="E259" t="s">
        <v>25</v>
      </c>
      <c r="F259" t="s">
        <v>26</v>
      </c>
      <c r="G259">
        <v>1</v>
      </c>
      <c r="H259">
        <v>139.9</v>
      </c>
      <c r="I259">
        <v>45</v>
      </c>
      <c r="J259">
        <v>139.9</v>
      </c>
      <c r="K259">
        <v>45</v>
      </c>
      <c r="L259">
        <v>94.9</v>
      </c>
      <c r="M259" t="s">
        <v>30</v>
      </c>
      <c r="N259" t="s">
        <v>21</v>
      </c>
    </row>
    <row r="260" spans="1:14" x14ac:dyDescent="0.25">
      <c r="A260" t="s">
        <v>467</v>
      </c>
      <c r="B260" s="1">
        <v>46221.174108796295</v>
      </c>
      <c r="C260" t="s">
        <v>252</v>
      </c>
      <c r="D260" t="s">
        <v>1</v>
      </c>
      <c r="E260" t="s">
        <v>25</v>
      </c>
      <c r="F260" t="s">
        <v>26</v>
      </c>
      <c r="G260">
        <v>1</v>
      </c>
      <c r="H260">
        <v>139.9</v>
      </c>
      <c r="I260">
        <v>45</v>
      </c>
      <c r="J260">
        <v>139.9</v>
      </c>
      <c r="K260">
        <v>45</v>
      </c>
      <c r="L260">
        <v>94.9</v>
      </c>
      <c r="M260" t="s">
        <v>20</v>
      </c>
      <c r="N260" t="s">
        <v>27</v>
      </c>
    </row>
    <row r="261" spans="1:14" x14ac:dyDescent="0.25">
      <c r="A261" t="s">
        <v>468</v>
      </c>
      <c r="B261" s="1">
        <v>46278.226018518515</v>
      </c>
      <c r="C261" t="s">
        <v>469</v>
      </c>
      <c r="D261" t="s">
        <v>24</v>
      </c>
      <c r="E261" t="s">
        <v>25</v>
      </c>
      <c r="F261" t="s">
        <v>47</v>
      </c>
      <c r="G261">
        <v>1</v>
      </c>
      <c r="H261">
        <v>159.9</v>
      </c>
      <c r="I261">
        <v>52</v>
      </c>
      <c r="J261">
        <v>159.9</v>
      </c>
      <c r="K261">
        <v>52</v>
      </c>
      <c r="L261">
        <v>107.9</v>
      </c>
      <c r="M261" t="s">
        <v>20</v>
      </c>
      <c r="N261" t="s">
        <v>27</v>
      </c>
    </row>
    <row r="262" spans="1:14" x14ac:dyDescent="0.25">
      <c r="A262" t="s">
        <v>470</v>
      </c>
      <c r="B262" s="1">
        <v>46149.10832175926</v>
      </c>
      <c r="C262" t="s">
        <v>178</v>
      </c>
      <c r="D262" t="s">
        <v>24</v>
      </c>
      <c r="E262" t="s">
        <v>18</v>
      </c>
      <c r="F262" t="s">
        <v>135</v>
      </c>
      <c r="G262">
        <v>1</v>
      </c>
      <c r="H262">
        <v>89.9</v>
      </c>
      <c r="I262">
        <v>25</v>
      </c>
      <c r="J262">
        <v>89.9</v>
      </c>
      <c r="K262">
        <v>25</v>
      </c>
      <c r="L262">
        <v>64.900000000000006</v>
      </c>
      <c r="M262" t="s">
        <v>20</v>
      </c>
      <c r="N262" t="s">
        <v>27</v>
      </c>
    </row>
    <row r="263" spans="1:14" x14ac:dyDescent="0.25">
      <c r="A263" t="s">
        <v>471</v>
      </c>
      <c r="B263" s="1">
        <v>46191.902696759258</v>
      </c>
      <c r="C263" t="s">
        <v>201</v>
      </c>
      <c r="D263" t="s">
        <v>76</v>
      </c>
      <c r="E263" t="s">
        <v>58</v>
      </c>
      <c r="F263" t="s">
        <v>95</v>
      </c>
      <c r="G263">
        <v>2</v>
      </c>
      <c r="H263">
        <v>279.89999999999998</v>
      </c>
      <c r="I263">
        <v>90</v>
      </c>
      <c r="J263">
        <v>559.79999999999995</v>
      </c>
      <c r="K263">
        <v>180</v>
      </c>
      <c r="L263">
        <v>379.8</v>
      </c>
      <c r="M263" t="s">
        <v>30</v>
      </c>
      <c r="N263" t="s">
        <v>27</v>
      </c>
    </row>
    <row r="264" spans="1:14" x14ac:dyDescent="0.25">
      <c r="A264" t="s">
        <v>472</v>
      </c>
      <c r="B264" s="1">
        <v>46186.666203703702</v>
      </c>
      <c r="C264" t="s">
        <v>473</v>
      </c>
      <c r="D264" t="s">
        <v>24</v>
      </c>
      <c r="E264" t="s">
        <v>58</v>
      </c>
      <c r="F264" t="s">
        <v>73</v>
      </c>
      <c r="G264">
        <v>1</v>
      </c>
      <c r="H264">
        <v>219.9</v>
      </c>
      <c r="I264">
        <v>70</v>
      </c>
      <c r="J264">
        <v>219.9</v>
      </c>
      <c r="K264">
        <v>70</v>
      </c>
      <c r="L264">
        <v>149.9</v>
      </c>
      <c r="M264" t="s">
        <v>20</v>
      </c>
      <c r="N264" t="s">
        <v>27</v>
      </c>
    </row>
    <row r="265" spans="1:14" x14ac:dyDescent="0.25">
      <c r="A265" t="s">
        <v>474</v>
      </c>
      <c r="B265" s="1">
        <v>46289.46130787037</v>
      </c>
      <c r="C265" t="s">
        <v>88</v>
      </c>
      <c r="D265" t="s">
        <v>54</v>
      </c>
      <c r="E265" t="s">
        <v>50</v>
      </c>
      <c r="F265" t="s">
        <v>51</v>
      </c>
      <c r="G265">
        <v>2</v>
      </c>
      <c r="H265">
        <v>319.89999999999998</v>
      </c>
      <c r="I265">
        <v>105</v>
      </c>
      <c r="J265">
        <v>639.79999999999995</v>
      </c>
      <c r="K265">
        <v>210</v>
      </c>
      <c r="L265">
        <v>429.8</v>
      </c>
      <c r="M265" t="s">
        <v>30</v>
      </c>
      <c r="N265" t="s">
        <v>21</v>
      </c>
    </row>
    <row r="266" spans="1:14" x14ac:dyDescent="0.25">
      <c r="A266" t="s">
        <v>475</v>
      </c>
      <c r="B266" s="1">
        <v>46182.75922453704</v>
      </c>
      <c r="C266" t="s">
        <v>476</v>
      </c>
      <c r="D266" t="s">
        <v>24</v>
      </c>
      <c r="E266" t="s">
        <v>25</v>
      </c>
      <c r="F266" t="s">
        <v>33</v>
      </c>
      <c r="G266">
        <v>2</v>
      </c>
      <c r="H266">
        <v>169.9</v>
      </c>
      <c r="I266">
        <v>55</v>
      </c>
      <c r="J266">
        <v>339.8</v>
      </c>
      <c r="K266">
        <v>110</v>
      </c>
      <c r="L266">
        <v>229.8</v>
      </c>
      <c r="M266" t="s">
        <v>30</v>
      </c>
      <c r="N266" t="s">
        <v>67</v>
      </c>
    </row>
    <row r="267" spans="1:14" x14ac:dyDescent="0.25">
      <c r="A267" t="s">
        <v>477</v>
      </c>
      <c r="B267" s="1">
        <v>46225.122025462966</v>
      </c>
      <c r="C267" t="s">
        <v>478</v>
      </c>
      <c r="D267" t="s">
        <v>24</v>
      </c>
      <c r="E267" t="s">
        <v>25</v>
      </c>
      <c r="F267" t="s">
        <v>40</v>
      </c>
      <c r="G267">
        <v>2</v>
      </c>
      <c r="H267">
        <v>139.9</v>
      </c>
      <c r="I267">
        <v>45</v>
      </c>
      <c r="J267">
        <v>279.8</v>
      </c>
      <c r="K267">
        <v>90</v>
      </c>
      <c r="L267">
        <v>189.8</v>
      </c>
      <c r="M267" t="s">
        <v>20</v>
      </c>
      <c r="N267" t="s">
        <v>27</v>
      </c>
    </row>
    <row r="268" spans="1:14" x14ac:dyDescent="0.25">
      <c r="A268" t="s">
        <v>479</v>
      </c>
      <c r="B268" s="1">
        <v>46223.488969907405</v>
      </c>
      <c r="C268" t="s">
        <v>38</v>
      </c>
      <c r="D268" t="s">
        <v>36</v>
      </c>
      <c r="E268" t="s">
        <v>58</v>
      </c>
      <c r="F268" t="s">
        <v>73</v>
      </c>
      <c r="G268">
        <v>1</v>
      </c>
      <c r="H268">
        <v>219.9</v>
      </c>
      <c r="I268">
        <v>70</v>
      </c>
      <c r="J268">
        <v>219.9</v>
      </c>
      <c r="K268">
        <v>70</v>
      </c>
      <c r="L268">
        <v>149.9</v>
      </c>
      <c r="M268" t="s">
        <v>43</v>
      </c>
      <c r="N268" t="s">
        <v>44</v>
      </c>
    </row>
    <row r="269" spans="1:14" x14ac:dyDescent="0.25">
      <c r="A269" t="s">
        <v>480</v>
      </c>
      <c r="B269" s="1">
        <v>46119.138541666667</v>
      </c>
      <c r="C269" t="s">
        <v>97</v>
      </c>
      <c r="D269" t="s">
        <v>54</v>
      </c>
      <c r="E269" t="s">
        <v>25</v>
      </c>
      <c r="F269" t="s">
        <v>40</v>
      </c>
      <c r="G269">
        <v>2</v>
      </c>
      <c r="H269">
        <v>139.9</v>
      </c>
      <c r="I269">
        <v>45</v>
      </c>
      <c r="J269">
        <v>279.8</v>
      </c>
      <c r="K269">
        <v>90</v>
      </c>
      <c r="L269">
        <v>189.8</v>
      </c>
      <c r="M269" t="s">
        <v>30</v>
      </c>
      <c r="N269" t="s">
        <v>21</v>
      </c>
    </row>
    <row r="270" spans="1:14" x14ac:dyDescent="0.25">
      <c r="A270" t="s">
        <v>481</v>
      </c>
      <c r="B270" s="1">
        <v>46308.408854166664</v>
      </c>
      <c r="C270" t="s">
        <v>169</v>
      </c>
      <c r="D270" t="s">
        <v>24</v>
      </c>
      <c r="E270" t="s">
        <v>50</v>
      </c>
      <c r="F270" t="s">
        <v>77</v>
      </c>
      <c r="G270">
        <v>2</v>
      </c>
      <c r="H270">
        <v>289.89999999999998</v>
      </c>
      <c r="I270">
        <v>95</v>
      </c>
      <c r="J270">
        <v>579.79999999999995</v>
      </c>
      <c r="K270">
        <v>190</v>
      </c>
      <c r="L270">
        <v>389.8</v>
      </c>
      <c r="M270" t="s">
        <v>20</v>
      </c>
      <c r="N270" t="s">
        <v>27</v>
      </c>
    </row>
    <row r="271" spans="1:14" x14ac:dyDescent="0.25">
      <c r="A271" t="s">
        <v>482</v>
      </c>
      <c r="B271" s="1">
        <v>46308.265763888892</v>
      </c>
      <c r="C271" t="s">
        <v>483</v>
      </c>
      <c r="D271" t="s">
        <v>1</v>
      </c>
      <c r="E271" t="s">
        <v>25</v>
      </c>
      <c r="F271" t="s">
        <v>33</v>
      </c>
      <c r="G271">
        <v>1</v>
      </c>
      <c r="H271">
        <v>169.9</v>
      </c>
      <c r="I271">
        <v>55</v>
      </c>
      <c r="J271">
        <v>169.9</v>
      </c>
      <c r="K271">
        <v>55</v>
      </c>
      <c r="L271">
        <v>114.9</v>
      </c>
      <c r="M271" t="s">
        <v>43</v>
      </c>
      <c r="N271" t="s">
        <v>21</v>
      </c>
    </row>
    <row r="272" spans="1:14" x14ac:dyDescent="0.25">
      <c r="A272" t="s">
        <v>484</v>
      </c>
      <c r="B272" s="1">
        <v>46184.275324074071</v>
      </c>
      <c r="C272" t="s">
        <v>203</v>
      </c>
      <c r="D272" t="s">
        <v>76</v>
      </c>
      <c r="E272" t="s">
        <v>50</v>
      </c>
      <c r="F272" t="s">
        <v>51</v>
      </c>
      <c r="G272">
        <v>1</v>
      </c>
      <c r="H272">
        <v>319.89999999999998</v>
      </c>
      <c r="I272">
        <v>105</v>
      </c>
      <c r="J272">
        <v>319.89999999999998</v>
      </c>
      <c r="K272">
        <v>105</v>
      </c>
      <c r="L272">
        <v>214.9</v>
      </c>
      <c r="M272" t="s">
        <v>20</v>
      </c>
      <c r="N272" t="s">
        <v>27</v>
      </c>
    </row>
    <row r="273" spans="1:14" x14ac:dyDescent="0.25">
      <c r="A273" t="s">
        <v>485</v>
      </c>
      <c r="B273" s="1">
        <v>46275.74596064815</v>
      </c>
      <c r="C273" t="s">
        <v>118</v>
      </c>
      <c r="D273" t="s">
        <v>76</v>
      </c>
      <c r="E273" t="s">
        <v>18</v>
      </c>
      <c r="F273" t="s">
        <v>135</v>
      </c>
      <c r="G273">
        <v>1</v>
      </c>
      <c r="H273">
        <v>89.9</v>
      </c>
      <c r="I273">
        <v>25</v>
      </c>
      <c r="J273">
        <v>89.9</v>
      </c>
      <c r="K273">
        <v>25</v>
      </c>
      <c r="L273">
        <v>64.900000000000006</v>
      </c>
      <c r="M273" t="s">
        <v>30</v>
      </c>
      <c r="N273" t="s">
        <v>27</v>
      </c>
    </row>
    <row r="274" spans="1:14" x14ac:dyDescent="0.25">
      <c r="A274" t="s">
        <v>486</v>
      </c>
      <c r="B274" s="1">
        <v>46233.527858796297</v>
      </c>
      <c r="C274" t="s">
        <v>350</v>
      </c>
      <c r="D274" t="s">
        <v>62</v>
      </c>
      <c r="E274" t="s">
        <v>25</v>
      </c>
      <c r="F274" t="s">
        <v>47</v>
      </c>
      <c r="G274">
        <v>1</v>
      </c>
      <c r="H274">
        <v>159.9</v>
      </c>
      <c r="I274">
        <v>52</v>
      </c>
      <c r="J274">
        <v>159.9</v>
      </c>
      <c r="K274">
        <v>52</v>
      </c>
      <c r="L274">
        <v>107.9</v>
      </c>
      <c r="M274" t="s">
        <v>20</v>
      </c>
      <c r="N274" t="s">
        <v>27</v>
      </c>
    </row>
    <row r="275" spans="1:14" x14ac:dyDescent="0.25">
      <c r="A275" t="s">
        <v>487</v>
      </c>
      <c r="B275" s="1">
        <v>46195.158680555556</v>
      </c>
      <c r="C275" t="s">
        <v>356</v>
      </c>
      <c r="D275" t="s">
        <v>24</v>
      </c>
      <c r="E275" t="s">
        <v>58</v>
      </c>
      <c r="F275" t="s">
        <v>59</v>
      </c>
      <c r="G275">
        <v>3</v>
      </c>
      <c r="H275">
        <v>249.9</v>
      </c>
      <c r="I275">
        <v>80</v>
      </c>
      <c r="J275">
        <v>749.7</v>
      </c>
      <c r="K275">
        <v>240</v>
      </c>
      <c r="L275">
        <v>509.7</v>
      </c>
      <c r="M275" t="s">
        <v>30</v>
      </c>
      <c r="N275" t="s">
        <v>21</v>
      </c>
    </row>
    <row r="276" spans="1:14" x14ac:dyDescent="0.25">
      <c r="A276" t="s">
        <v>488</v>
      </c>
      <c r="B276" s="1">
        <v>46197.624479166669</v>
      </c>
      <c r="C276" t="s">
        <v>422</v>
      </c>
      <c r="D276" t="s">
        <v>165</v>
      </c>
      <c r="E276" t="s">
        <v>25</v>
      </c>
      <c r="F276" t="s">
        <v>33</v>
      </c>
      <c r="G276">
        <v>2</v>
      </c>
      <c r="H276">
        <v>169.9</v>
      </c>
      <c r="I276">
        <v>55</v>
      </c>
      <c r="J276">
        <v>339.8</v>
      </c>
      <c r="K276">
        <v>110</v>
      </c>
      <c r="L276">
        <v>229.8</v>
      </c>
      <c r="M276" t="s">
        <v>30</v>
      </c>
      <c r="N276" t="s">
        <v>21</v>
      </c>
    </row>
    <row r="277" spans="1:14" x14ac:dyDescent="0.25">
      <c r="A277" t="s">
        <v>489</v>
      </c>
      <c r="B277" s="1">
        <v>46186.607499999998</v>
      </c>
      <c r="C277" t="s">
        <v>490</v>
      </c>
      <c r="D277" t="s">
        <v>76</v>
      </c>
      <c r="E277" t="s">
        <v>25</v>
      </c>
      <c r="F277" t="s">
        <v>40</v>
      </c>
      <c r="G277">
        <v>1</v>
      </c>
      <c r="H277">
        <v>139.9</v>
      </c>
      <c r="I277">
        <v>45</v>
      </c>
      <c r="J277">
        <v>139.9</v>
      </c>
      <c r="K277">
        <v>45</v>
      </c>
      <c r="L277">
        <v>94.9</v>
      </c>
      <c r="M277" t="s">
        <v>30</v>
      </c>
      <c r="N277" t="s">
        <v>27</v>
      </c>
    </row>
    <row r="278" spans="1:14" x14ac:dyDescent="0.25">
      <c r="A278" t="s">
        <v>491</v>
      </c>
      <c r="B278" s="1">
        <v>46229.133587962962</v>
      </c>
      <c r="C278" t="s">
        <v>492</v>
      </c>
      <c r="D278" t="s">
        <v>24</v>
      </c>
      <c r="E278" t="s">
        <v>25</v>
      </c>
      <c r="F278" t="s">
        <v>47</v>
      </c>
      <c r="G278">
        <v>3</v>
      </c>
      <c r="H278">
        <v>159.9</v>
      </c>
      <c r="I278">
        <v>52</v>
      </c>
      <c r="J278">
        <v>479.7</v>
      </c>
      <c r="K278">
        <v>156</v>
      </c>
      <c r="L278">
        <v>323.7</v>
      </c>
      <c r="M278" t="s">
        <v>30</v>
      </c>
      <c r="N278" t="s">
        <v>27</v>
      </c>
    </row>
    <row r="279" spans="1:14" x14ac:dyDescent="0.25">
      <c r="A279" t="s">
        <v>493</v>
      </c>
      <c r="B279" s="1">
        <v>46195.175856481481</v>
      </c>
      <c r="C279" t="s">
        <v>118</v>
      </c>
      <c r="D279" t="s">
        <v>24</v>
      </c>
      <c r="E279" t="s">
        <v>58</v>
      </c>
      <c r="F279" t="s">
        <v>73</v>
      </c>
      <c r="G279">
        <v>1</v>
      </c>
      <c r="H279">
        <v>219.9</v>
      </c>
      <c r="I279">
        <v>70</v>
      </c>
      <c r="J279">
        <v>219.9</v>
      </c>
      <c r="K279">
        <v>70</v>
      </c>
      <c r="L279">
        <v>149.9</v>
      </c>
      <c r="M279" t="s">
        <v>43</v>
      </c>
      <c r="N279" t="s">
        <v>27</v>
      </c>
    </row>
    <row r="280" spans="1:14" x14ac:dyDescent="0.25">
      <c r="A280" t="s">
        <v>494</v>
      </c>
      <c r="B280" s="1">
        <v>46244.001736111109</v>
      </c>
      <c r="C280" t="s">
        <v>275</v>
      </c>
      <c r="D280" t="s">
        <v>24</v>
      </c>
      <c r="E280" t="s">
        <v>25</v>
      </c>
      <c r="F280" t="s">
        <v>33</v>
      </c>
      <c r="G280">
        <v>1</v>
      </c>
      <c r="H280">
        <v>169.9</v>
      </c>
      <c r="I280">
        <v>55</v>
      </c>
      <c r="J280">
        <v>169.9</v>
      </c>
      <c r="K280">
        <v>55</v>
      </c>
      <c r="L280">
        <v>114.9</v>
      </c>
      <c r="M280" t="s">
        <v>20</v>
      </c>
      <c r="N280" t="s">
        <v>27</v>
      </c>
    </row>
    <row r="281" spans="1:14" x14ac:dyDescent="0.25">
      <c r="A281" t="s">
        <v>495</v>
      </c>
      <c r="B281" s="1">
        <v>46218.08222222222</v>
      </c>
      <c r="C281" t="s">
        <v>182</v>
      </c>
      <c r="D281" t="s">
        <v>39</v>
      </c>
      <c r="E281" t="s">
        <v>25</v>
      </c>
      <c r="F281" t="s">
        <v>47</v>
      </c>
      <c r="G281">
        <v>1</v>
      </c>
      <c r="H281">
        <v>159.9</v>
      </c>
      <c r="I281">
        <v>52</v>
      </c>
      <c r="J281">
        <v>159.9</v>
      </c>
      <c r="K281">
        <v>52</v>
      </c>
      <c r="L281">
        <v>107.9</v>
      </c>
      <c r="M281" t="s">
        <v>20</v>
      </c>
      <c r="N281" t="s">
        <v>27</v>
      </c>
    </row>
    <row r="282" spans="1:14" x14ac:dyDescent="0.25">
      <c r="A282" t="s">
        <v>496</v>
      </c>
      <c r="B282" s="1">
        <v>46272.756226851852</v>
      </c>
      <c r="C282" t="s">
        <v>113</v>
      </c>
      <c r="D282" t="s">
        <v>24</v>
      </c>
      <c r="E282" t="s">
        <v>25</v>
      </c>
      <c r="F282" t="s">
        <v>33</v>
      </c>
      <c r="G282">
        <v>1</v>
      </c>
      <c r="H282">
        <v>169.9</v>
      </c>
      <c r="I282">
        <v>55</v>
      </c>
      <c r="J282">
        <v>169.9</v>
      </c>
      <c r="K282">
        <v>55</v>
      </c>
      <c r="L282">
        <v>114.9</v>
      </c>
      <c r="M282" t="s">
        <v>20</v>
      </c>
      <c r="N282" t="s">
        <v>27</v>
      </c>
    </row>
    <row r="283" spans="1:14" x14ac:dyDescent="0.25">
      <c r="A283" t="s">
        <v>497</v>
      </c>
      <c r="B283" s="1">
        <v>46307.078287037039</v>
      </c>
      <c r="C283" t="s">
        <v>498</v>
      </c>
      <c r="D283" t="s">
        <v>1</v>
      </c>
      <c r="E283" t="s">
        <v>58</v>
      </c>
      <c r="F283" t="s">
        <v>73</v>
      </c>
      <c r="G283">
        <v>2</v>
      </c>
      <c r="H283">
        <v>219.9</v>
      </c>
      <c r="I283">
        <v>70</v>
      </c>
      <c r="J283">
        <v>439.8</v>
      </c>
      <c r="K283">
        <v>140</v>
      </c>
      <c r="L283">
        <v>299.8</v>
      </c>
      <c r="M283" t="s">
        <v>20</v>
      </c>
      <c r="N283" t="s">
        <v>27</v>
      </c>
    </row>
    <row r="284" spans="1:14" x14ac:dyDescent="0.25">
      <c r="A284" t="s">
        <v>499</v>
      </c>
      <c r="B284" s="1">
        <v>46253.198750000003</v>
      </c>
      <c r="C284" t="s">
        <v>149</v>
      </c>
      <c r="D284" t="s">
        <v>24</v>
      </c>
      <c r="E284" t="s">
        <v>25</v>
      </c>
      <c r="F284" t="s">
        <v>47</v>
      </c>
      <c r="G284">
        <v>1</v>
      </c>
      <c r="H284">
        <v>159.9</v>
      </c>
      <c r="I284">
        <v>52</v>
      </c>
      <c r="J284">
        <v>159.9</v>
      </c>
      <c r="K284">
        <v>52</v>
      </c>
      <c r="L284">
        <v>107.9</v>
      </c>
      <c r="M284" t="s">
        <v>30</v>
      </c>
      <c r="N284" t="s">
        <v>27</v>
      </c>
    </row>
    <row r="285" spans="1:14" x14ac:dyDescent="0.25">
      <c r="A285" t="s">
        <v>500</v>
      </c>
      <c r="B285" s="1">
        <v>46225.735324074078</v>
      </c>
      <c r="C285" t="s">
        <v>473</v>
      </c>
      <c r="D285" t="s">
        <v>62</v>
      </c>
      <c r="E285" t="s">
        <v>25</v>
      </c>
      <c r="F285" t="s">
        <v>40</v>
      </c>
      <c r="G285">
        <v>1</v>
      </c>
      <c r="H285">
        <v>139.9</v>
      </c>
      <c r="I285">
        <v>45</v>
      </c>
      <c r="J285">
        <v>139.9</v>
      </c>
      <c r="K285">
        <v>45</v>
      </c>
      <c r="L285">
        <v>94.9</v>
      </c>
      <c r="M285" t="s">
        <v>30</v>
      </c>
      <c r="N285" t="s">
        <v>27</v>
      </c>
    </row>
    <row r="286" spans="1:14" x14ac:dyDescent="0.25">
      <c r="A286" t="s">
        <v>501</v>
      </c>
      <c r="B286" s="1">
        <v>46274.923680555556</v>
      </c>
      <c r="C286" t="s">
        <v>180</v>
      </c>
      <c r="D286" t="s">
        <v>24</v>
      </c>
      <c r="E286" t="s">
        <v>50</v>
      </c>
      <c r="F286" t="s">
        <v>77</v>
      </c>
      <c r="G286">
        <v>1</v>
      </c>
      <c r="H286">
        <v>289.89999999999998</v>
      </c>
      <c r="I286">
        <v>95</v>
      </c>
      <c r="J286">
        <v>289.89999999999998</v>
      </c>
      <c r="K286">
        <v>95</v>
      </c>
      <c r="L286">
        <v>194.9</v>
      </c>
      <c r="M286" t="s">
        <v>30</v>
      </c>
      <c r="N286" t="s">
        <v>67</v>
      </c>
    </row>
    <row r="287" spans="1:14" x14ac:dyDescent="0.25">
      <c r="A287" t="s">
        <v>502</v>
      </c>
      <c r="B287" s="1">
        <v>46294.240254629629</v>
      </c>
      <c r="C287" t="s">
        <v>503</v>
      </c>
      <c r="D287" t="s">
        <v>57</v>
      </c>
      <c r="E287" t="s">
        <v>25</v>
      </c>
      <c r="F287" t="s">
        <v>40</v>
      </c>
      <c r="G287">
        <v>3</v>
      </c>
      <c r="H287">
        <v>139.9</v>
      </c>
      <c r="I287">
        <v>45</v>
      </c>
      <c r="J287">
        <v>419.7</v>
      </c>
      <c r="K287">
        <v>135</v>
      </c>
      <c r="L287">
        <v>284.7</v>
      </c>
      <c r="M287" t="s">
        <v>20</v>
      </c>
      <c r="N287" t="s">
        <v>27</v>
      </c>
    </row>
    <row r="288" spans="1:14" x14ac:dyDescent="0.25">
      <c r="A288" t="s">
        <v>504</v>
      </c>
      <c r="B288" s="1">
        <v>46254.618935185186</v>
      </c>
      <c r="C288" t="s">
        <v>35</v>
      </c>
      <c r="D288" t="s">
        <v>1</v>
      </c>
      <c r="E288" t="s">
        <v>50</v>
      </c>
      <c r="F288" t="s">
        <v>77</v>
      </c>
      <c r="G288">
        <v>1</v>
      </c>
      <c r="H288">
        <v>289.89999999999998</v>
      </c>
      <c r="I288">
        <v>95</v>
      </c>
      <c r="J288">
        <v>289.89999999999998</v>
      </c>
      <c r="K288">
        <v>95</v>
      </c>
      <c r="L288">
        <v>194.9</v>
      </c>
      <c r="M288" t="s">
        <v>20</v>
      </c>
      <c r="N288" t="s">
        <v>21</v>
      </c>
    </row>
    <row r="289" spans="1:14" x14ac:dyDescent="0.25">
      <c r="A289" t="s">
        <v>505</v>
      </c>
      <c r="B289" s="1">
        <v>46142.700023148151</v>
      </c>
      <c r="C289" t="s">
        <v>145</v>
      </c>
      <c r="D289" t="s">
        <v>24</v>
      </c>
      <c r="E289" t="s">
        <v>25</v>
      </c>
      <c r="F289" t="s">
        <v>40</v>
      </c>
      <c r="G289">
        <v>2</v>
      </c>
      <c r="H289">
        <v>139.9</v>
      </c>
      <c r="I289">
        <v>45</v>
      </c>
      <c r="J289">
        <v>279.8</v>
      </c>
      <c r="K289">
        <v>90</v>
      </c>
      <c r="L289">
        <v>189.8</v>
      </c>
      <c r="M289" t="s">
        <v>30</v>
      </c>
      <c r="N289" t="s">
        <v>27</v>
      </c>
    </row>
    <row r="290" spans="1:14" x14ac:dyDescent="0.25">
      <c r="A290" t="s">
        <v>506</v>
      </c>
      <c r="B290" s="1">
        <v>46278.233576388891</v>
      </c>
      <c r="C290" t="s">
        <v>507</v>
      </c>
      <c r="D290" t="s">
        <v>57</v>
      </c>
      <c r="E290" t="s">
        <v>25</v>
      </c>
      <c r="F290" t="s">
        <v>47</v>
      </c>
      <c r="G290">
        <v>2</v>
      </c>
      <c r="H290">
        <v>159.9</v>
      </c>
      <c r="I290">
        <v>52</v>
      </c>
      <c r="J290">
        <v>319.8</v>
      </c>
      <c r="K290">
        <v>104</v>
      </c>
      <c r="L290">
        <v>215.8</v>
      </c>
      <c r="M290" t="s">
        <v>30</v>
      </c>
      <c r="N290" t="s">
        <v>27</v>
      </c>
    </row>
    <row r="291" spans="1:14" x14ac:dyDescent="0.25">
      <c r="A291" t="s">
        <v>508</v>
      </c>
      <c r="B291" s="1">
        <v>46243.41479166667</v>
      </c>
      <c r="C291" t="s">
        <v>352</v>
      </c>
      <c r="D291" t="s">
        <v>24</v>
      </c>
      <c r="E291" t="s">
        <v>50</v>
      </c>
      <c r="F291" t="s">
        <v>51</v>
      </c>
      <c r="G291">
        <v>2</v>
      </c>
      <c r="H291">
        <v>319.89999999999998</v>
      </c>
      <c r="I291">
        <v>105</v>
      </c>
      <c r="J291">
        <v>639.79999999999995</v>
      </c>
      <c r="K291">
        <v>210</v>
      </c>
      <c r="L291">
        <v>429.8</v>
      </c>
      <c r="M291" t="s">
        <v>43</v>
      </c>
      <c r="N291" t="s">
        <v>67</v>
      </c>
    </row>
    <row r="292" spans="1:14" x14ac:dyDescent="0.25">
      <c r="A292" t="s">
        <v>509</v>
      </c>
      <c r="B292" s="1">
        <v>46233.369745370372</v>
      </c>
      <c r="C292" t="s">
        <v>83</v>
      </c>
      <c r="D292" t="s">
        <v>1</v>
      </c>
      <c r="E292" t="s">
        <v>50</v>
      </c>
      <c r="F292" t="s">
        <v>84</v>
      </c>
      <c r="G292">
        <v>2</v>
      </c>
      <c r="H292">
        <v>259.89999999999998</v>
      </c>
      <c r="I292">
        <v>82</v>
      </c>
      <c r="J292">
        <v>519.79999999999995</v>
      </c>
      <c r="K292">
        <v>164</v>
      </c>
      <c r="L292">
        <v>355.8</v>
      </c>
      <c r="M292" t="s">
        <v>20</v>
      </c>
      <c r="N292" t="s">
        <v>21</v>
      </c>
    </row>
    <row r="293" spans="1:14" x14ac:dyDescent="0.25">
      <c r="A293" t="s">
        <v>510</v>
      </c>
      <c r="B293" s="1">
        <v>46150.581909722219</v>
      </c>
      <c r="C293" t="s">
        <v>182</v>
      </c>
      <c r="D293" t="s">
        <v>62</v>
      </c>
      <c r="E293" t="s">
        <v>50</v>
      </c>
      <c r="F293" t="s">
        <v>84</v>
      </c>
      <c r="G293">
        <v>2</v>
      </c>
      <c r="H293">
        <v>259.89999999999998</v>
      </c>
      <c r="I293">
        <v>82</v>
      </c>
      <c r="J293">
        <v>519.79999999999995</v>
      </c>
      <c r="K293">
        <v>164</v>
      </c>
      <c r="L293">
        <v>355.8</v>
      </c>
      <c r="M293" t="s">
        <v>30</v>
      </c>
      <c r="N293" t="s">
        <v>27</v>
      </c>
    </row>
    <row r="294" spans="1:14" x14ac:dyDescent="0.25">
      <c r="A294" t="s">
        <v>511</v>
      </c>
      <c r="B294" s="1">
        <v>46243.207083333335</v>
      </c>
      <c r="C294" t="s">
        <v>81</v>
      </c>
      <c r="D294" t="s">
        <v>1</v>
      </c>
      <c r="E294" t="s">
        <v>50</v>
      </c>
      <c r="F294" t="s">
        <v>77</v>
      </c>
      <c r="G294">
        <v>1</v>
      </c>
      <c r="H294">
        <v>289.89999999999998</v>
      </c>
      <c r="I294">
        <v>95</v>
      </c>
      <c r="J294">
        <v>289.89999999999998</v>
      </c>
      <c r="K294">
        <v>95</v>
      </c>
      <c r="L294">
        <v>194.9</v>
      </c>
      <c r="M294" t="s">
        <v>20</v>
      </c>
      <c r="N294" t="s">
        <v>67</v>
      </c>
    </row>
    <row r="295" spans="1:14" x14ac:dyDescent="0.25">
      <c r="A295" t="s">
        <v>512</v>
      </c>
      <c r="B295" s="1">
        <v>46183.629479166666</v>
      </c>
      <c r="C295" t="s">
        <v>513</v>
      </c>
      <c r="D295" t="s">
        <v>24</v>
      </c>
      <c r="E295" t="s">
        <v>18</v>
      </c>
      <c r="F295" t="s">
        <v>19</v>
      </c>
      <c r="G295">
        <v>1</v>
      </c>
      <c r="H295">
        <v>129.9</v>
      </c>
      <c r="I295">
        <v>40</v>
      </c>
      <c r="J295">
        <v>129.9</v>
      </c>
      <c r="K295">
        <v>40</v>
      </c>
      <c r="L295">
        <v>89.9</v>
      </c>
      <c r="M295" t="s">
        <v>20</v>
      </c>
      <c r="N295" t="s">
        <v>27</v>
      </c>
    </row>
    <row r="296" spans="1:14" x14ac:dyDescent="0.25">
      <c r="A296" t="s">
        <v>514</v>
      </c>
      <c r="B296" s="1">
        <v>46181.003888888888</v>
      </c>
      <c r="C296" t="s">
        <v>230</v>
      </c>
      <c r="D296" t="s">
        <v>36</v>
      </c>
      <c r="E296" t="s">
        <v>58</v>
      </c>
      <c r="F296" t="s">
        <v>95</v>
      </c>
      <c r="G296">
        <v>2</v>
      </c>
      <c r="H296">
        <v>279.89999999999998</v>
      </c>
      <c r="I296">
        <v>90</v>
      </c>
      <c r="J296">
        <v>559.79999999999995</v>
      </c>
      <c r="K296">
        <v>180</v>
      </c>
      <c r="L296">
        <v>379.8</v>
      </c>
      <c r="M296" t="s">
        <v>30</v>
      </c>
      <c r="N296" t="s">
        <v>27</v>
      </c>
    </row>
    <row r="297" spans="1:14" x14ac:dyDescent="0.25">
      <c r="A297" t="s">
        <v>515</v>
      </c>
      <c r="B297" s="1">
        <v>46189.890405092592</v>
      </c>
      <c r="C297" t="s">
        <v>199</v>
      </c>
      <c r="D297" t="s">
        <v>54</v>
      </c>
      <c r="E297" t="s">
        <v>58</v>
      </c>
      <c r="F297" t="s">
        <v>95</v>
      </c>
      <c r="G297">
        <v>2</v>
      </c>
      <c r="H297">
        <v>279.89999999999998</v>
      </c>
      <c r="I297">
        <v>90</v>
      </c>
      <c r="J297">
        <v>559.79999999999995</v>
      </c>
      <c r="K297">
        <v>180</v>
      </c>
      <c r="L297">
        <v>379.8</v>
      </c>
      <c r="M297" t="s">
        <v>20</v>
      </c>
      <c r="N297" t="s">
        <v>27</v>
      </c>
    </row>
    <row r="298" spans="1:14" x14ac:dyDescent="0.25">
      <c r="A298" t="s">
        <v>516</v>
      </c>
      <c r="B298" s="1">
        <v>46238.225416666668</v>
      </c>
      <c r="C298" t="s">
        <v>517</v>
      </c>
      <c r="D298" t="s">
        <v>39</v>
      </c>
      <c r="E298" t="s">
        <v>25</v>
      </c>
      <c r="F298" t="s">
        <v>33</v>
      </c>
      <c r="G298">
        <v>1</v>
      </c>
      <c r="H298">
        <v>169.9</v>
      </c>
      <c r="I298">
        <v>55</v>
      </c>
      <c r="J298">
        <v>169.9</v>
      </c>
      <c r="K298">
        <v>55</v>
      </c>
      <c r="L298">
        <v>114.9</v>
      </c>
      <c r="M298" t="s">
        <v>30</v>
      </c>
      <c r="N298" t="s">
        <v>27</v>
      </c>
    </row>
    <row r="299" spans="1:14" x14ac:dyDescent="0.25">
      <c r="A299" t="s">
        <v>518</v>
      </c>
      <c r="B299" s="1">
        <v>46201.504317129627</v>
      </c>
      <c r="C299" t="s">
        <v>69</v>
      </c>
      <c r="D299" t="s">
        <v>1</v>
      </c>
      <c r="E299" t="s">
        <v>25</v>
      </c>
      <c r="F299" t="s">
        <v>33</v>
      </c>
      <c r="G299">
        <v>2</v>
      </c>
      <c r="H299">
        <v>169.9</v>
      </c>
      <c r="I299">
        <v>55</v>
      </c>
      <c r="J299">
        <v>339.8</v>
      </c>
      <c r="K299">
        <v>110</v>
      </c>
      <c r="L299">
        <v>229.8</v>
      </c>
      <c r="M299" t="s">
        <v>30</v>
      </c>
      <c r="N299" t="s">
        <v>27</v>
      </c>
    </row>
    <row r="300" spans="1:14" x14ac:dyDescent="0.25">
      <c r="A300" t="s">
        <v>519</v>
      </c>
      <c r="B300" s="1">
        <v>46229.48814814815</v>
      </c>
      <c r="C300" t="s">
        <v>520</v>
      </c>
      <c r="D300" t="s">
        <v>24</v>
      </c>
      <c r="E300" t="s">
        <v>25</v>
      </c>
      <c r="F300" t="s">
        <v>26</v>
      </c>
      <c r="G300">
        <v>1</v>
      </c>
      <c r="H300">
        <v>139.9</v>
      </c>
      <c r="I300">
        <v>45</v>
      </c>
      <c r="J300">
        <v>139.9</v>
      </c>
      <c r="K300">
        <v>45</v>
      </c>
      <c r="L300">
        <v>94.9</v>
      </c>
      <c r="M300" t="s">
        <v>30</v>
      </c>
      <c r="N300" t="s">
        <v>27</v>
      </c>
    </row>
    <row r="301" spans="1:14" x14ac:dyDescent="0.25">
      <c r="A301" t="s">
        <v>521</v>
      </c>
      <c r="B301" s="1">
        <v>46291.362268518518</v>
      </c>
      <c r="C301" t="s">
        <v>441</v>
      </c>
      <c r="D301" t="s">
        <v>54</v>
      </c>
      <c r="E301" t="s">
        <v>50</v>
      </c>
      <c r="F301" t="s">
        <v>51</v>
      </c>
      <c r="G301">
        <v>1</v>
      </c>
      <c r="H301">
        <v>319.89999999999998</v>
      </c>
      <c r="I301">
        <v>105</v>
      </c>
      <c r="J301">
        <v>319.89999999999998</v>
      </c>
      <c r="K301">
        <v>105</v>
      </c>
      <c r="L301">
        <v>214.9</v>
      </c>
      <c r="M301" t="s">
        <v>30</v>
      </c>
      <c r="N301" t="s">
        <v>27</v>
      </c>
    </row>
    <row r="302" spans="1:14" x14ac:dyDescent="0.25">
      <c r="A302" t="s">
        <v>522</v>
      </c>
      <c r="B302" s="1">
        <v>46172.623159722221</v>
      </c>
      <c r="C302" t="s">
        <v>523</v>
      </c>
      <c r="D302" t="s">
        <v>36</v>
      </c>
      <c r="E302" t="s">
        <v>50</v>
      </c>
      <c r="F302" t="s">
        <v>51</v>
      </c>
      <c r="G302">
        <v>1</v>
      </c>
      <c r="H302">
        <v>319.89999999999998</v>
      </c>
      <c r="I302">
        <v>105</v>
      </c>
      <c r="J302">
        <v>319.89999999999998</v>
      </c>
      <c r="K302">
        <v>105</v>
      </c>
      <c r="L302">
        <v>214.9</v>
      </c>
      <c r="M302" t="s">
        <v>30</v>
      </c>
      <c r="N302" t="s">
        <v>27</v>
      </c>
    </row>
    <row r="303" spans="1:14" x14ac:dyDescent="0.25">
      <c r="A303" t="s">
        <v>524</v>
      </c>
      <c r="B303" s="1">
        <v>46303.717511574076</v>
      </c>
      <c r="C303" t="s">
        <v>75</v>
      </c>
      <c r="D303" t="s">
        <v>1</v>
      </c>
      <c r="E303" t="s">
        <v>50</v>
      </c>
      <c r="F303" t="s">
        <v>51</v>
      </c>
      <c r="G303">
        <v>1</v>
      </c>
      <c r="H303">
        <v>319.89999999999998</v>
      </c>
      <c r="I303">
        <v>105</v>
      </c>
      <c r="J303">
        <v>319.89999999999998</v>
      </c>
      <c r="K303">
        <v>105</v>
      </c>
      <c r="L303">
        <v>214.9</v>
      </c>
      <c r="M303" t="s">
        <v>20</v>
      </c>
      <c r="N303" t="s">
        <v>27</v>
      </c>
    </row>
    <row r="304" spans="1:14" x14ac:dyDescent="0.25">
      <c r="A304" t="s">
        <v>525</v>
      </c>
      <c r="B304" s="1">
        <v>46211.989131944443</v>
      </c>
      <c r="C304" t="s">
        <v>449</v>
      </c>
      <c r="D304" t="s">
        <v>39</v>
      </c>
      <c r="E304" t="s">
        <v>58</v>
      </c>
      <c r="F304" t="s">
        <v>73</v>
      </c>
      <c r="G304">
        <v>3</v>
      </c>
      <c r="H304">
        <v>219.9</v>
      </c>
      <c r="I304">
        <v>70</v>
      </c>
      <c r="J304">
        <v>659.7</v>
      </c>
      <c r="K304">
        <v>210</v>
      </c>
      <c r="L304">
        <v>449.7</v>
      </c>
      <c r="M304" t="s">
        <v>30</v>
      </c>
      <c r="N304" t="s">
        <v>21</v>
      </c>
    </row>
    <row r="305" spans="1:14" x14ac:dyDescent="0.25">
      <c r="A305" t="s">
        <v>526</v>
      </c>
      <c r="B305" s="1">
        <v>46122.191516203704</v>
      </c>
      <c r="C305" t="s">
        <v>527</v>
      </c>
      <c r="D305" t="s">
        <v>24</v>
      </c>
      <c r="E305" t="s">
        <v>50</v>
      </c>
      <c r="F305" t="s">
        <v>84</v>
      </c>
      <c r="G305">
        <v>2</v>
      </c>
      <c r="H305">
        <v>259.89999999999998</v>
      </c>
      <c r="I305">
        <v>82</v>
      </c>
      <c r="J305">
        <v>519.79999999999995</v>
      </c>
      <c r="K305">
        <v>164</v>
      </c>
      <c r="L305">
        <v>355.8</v>
      </c>
      <c r="M305" t="s">
        <v>30</v>
      </c>
      <c r="N305" t="s">
        <v>27</v>
      </c>
    </row>
    <row r="306" spans="1:14" x14ac:dyDescent="0.25">
      <c r="A306" t="s">
        <v>528</v>
      </c>
      <c r="B306" s="1">
        <v>46197.152245370373</v>
      </c>
      <c r="C306" t="s">
        <v>529</v>
      </c>
      <c r="D306" t="s">
        <v>24</v>
      </c>
      <c r="E306" t="s">
        <v>18</v>
      </c>
      <c r="F306" t="s">
        <v>222</v>
      </c>
      <c r="G306">
        <v>1</v>
      </c>
      <c r="H306">
        <v>79.900000000000006</v>
      </c>
      <c r="I306">
        <v>22</v>
      </c>
      <c r="J306">
        <v>79.900000000000006</v>
      </c>
      <c r="K306">
        <v>22</v>
      </c>
      <c r="L306">
        <v>57.9</v>
      </c>
      <c r="M306" t="s">
        <v>30</v>
      </c>
      <c r="N306" t="s">
        <v>27</v>
      </c>
    </row>
    <row r="307" spans="1:14" x14ac:dyDescent="0.25">
      <c r="A307" t="s">
        <v>530</v>
      </c>
      <c r="B307" s="1">
        <v>46138.797881944447</v>
      </c>
      <c r="C307" t="s">
        <v>531</v>
      </c>
      <c r="D307" t="s">
        <v>24</v>
      </c>
      <c r="E307" t="s">
        <v>25</v>
      </c>
      <c r="F307" t="s">
        <v>33</v>
      </c>
      <c r="G307">
        <v>1</v>
      </c>
      <c r="H307">
        <v>169.9</v>
      </c>
      <c r="I307">
        <v>55</v>
      </c>
      <c r="J307">
        <v>169.9</v>
      </c>
      <c r="K307">
        <v>55</v>
      </c>
      <c r="L307">
        <v>114.9</v>
      </c>
      <c r="M307" t="s">
        <v>20</v>
      </c>
      <c r="N307" t="s">
        <v>27</v>
      </c>
    </row>
    <row r="308" spans="1:14" x14ac:dyDescent="0.25">
      <c r="A308" t="s">
        <v>532</v>
      </c>
      <c r="B308" s="1">
        <v>46116.218680555554</v>
      </c>
      <c r="C308" t="s">
        <v>350</v>
      </c>
      <c r="D308" t="s">
        <v>24</v>
      </c>
      <c r="E308" t="s">
        <v>50</v>
      </c>
      <c r="F308" t="s">
        <v>84</v>
      </c>
      <c r="G308">
        <v>2</v>
      </c>
      <c r="H308">
        <v>259.89999999999998</v>
      </c>
      <c r="I308">
        <v>82</v>
      </c>
      <c r="J308">
        <v>519.79999999999995</v>
      </c>
      <c r="K308">
        <v>164</v>
      </c>
      <c r="L308">
        <v>355.8</v>
      </c>
      <c r="M308" t="s">
        <v>30</v>
      </c>
      <c r="N308" t="s">
        <v>27</v>
      </c>
    </row>
    <row r="309" spans="1:14" x14ac:dyDescent="0.25">
      <c r="A309" t="s">
        <v>533</v>
      </c>
      <c r="B309" s="1">
        <v>46152.113506944443</v>
      </c>
      <c r="C309" t="s">
        <v>483</v>
      </c>
      <c r="D309" t="s">
        <v>24</v>
      </c>
      <c r="E309" t="s">
        <v>25</v>
      </c>
      <c r="F309" t="s">
        <v>47</v>
      </c>
      <c r="G309">
        <v>2</v>
      </c>
      <c r="H309">
        <v>159.9</v>
      </c>
      <c r="I309">
        <v>52</v>
      </c>
      <c r="J309">
        <v>319.8</v>
      </c>
      <c r="K309">
        <v>104</v>
      </c>
      <c r="L309">
        <v>215.8</v>
      </c>
      <c r="M309" t="s">
        <v>30</v>
      </c>
      <c r="N309" t="s">
        <v>27</v>
      </c>
    </row>
    <row r="310" spans="1:14" x14ac:dyDescent="0.25">
      <c r="A310" t="s">
        <v>534</v>
      </c>
      <c r="B310" s="1">
        <v>46199.945497685185</v>
      </c>
      <c r="C310" t="s">
        <v>422</v>
      </c>
      <c r="D310" t="s">
        <v>72</v>
      </c>
      <c r="E310" t="s">
        <v>25</v>
      </c>
      <c r="F310" t="s">
        <v>33</v>
      </c>
      <c r="G310">
        <v>1</v>
      </c>
      <c r="H310">
        <v>169.9</v>
      </c>
      <c r="I310">
        <v>55</v>
      </c>
      <c r="J310">
        <v>169.9</v>
      </c>
      <c r="K310">
        <v>55</v>
      </c>
      <c r="L310">
        <v>114.9</v>
      </c>
      <c r="M310" t="s">
        <v>30</v>
      </c>
      <c r="N310" t="s">
        <v>67</v>
      </c>
    </row>
    <row r="311" spans="1:14" x14ac:dyDescent="0.25">
      <c r="A311" t="s">
        <v>535</v>
      </c>
      <c r="B311" s="1">
        <v>46279.121840277781</v>
      </c>
      <c r="C311" t="s">
        <v>240</v>
      </c>
      <c r="D311" t="s">
        <v>1</v>
      </c>
      <c r="E311" t="s">
        <v>58</v>
      </c>
      <c r="F311" t="s">
        <v>73</v>
      </c>
      <c r="G311">
        <v>1</v>
      </c>
      <c r="H311">
        <v>219.9</v>
      </c>
      <c r="I311">
        <v>70</v>
      </c>
      <c r="J311">
        <v>219.9</v>
      </c>
      <c r="K311">
        <v>70</v>
      </c>
      <c r="L311">
        <v>149.9</v>
      </c>
      <c r="M311" t="s">
        <v>30</v>
      </c>
      <c r="N311" t="s">
        <v>27</v>
      </c>
    </row>
    <row r="312" spans="1:14" x14ac:dyDescent="0.25">
      <c r="A312" t="s">
        <v>536</v>
      </c>
      <c r="B312" s="1">
        <v>46285.809513888889</v>
      </c>
      <c r="C312" t="s">
        <v>92</v>
      </c>
      <c r="D312" t="s">
        <v>57</v>
      </c>
      <c r="E312" t="s">
        <v>50</v>
      </c>
      <c r="F312" t="s">
        <v>51</v>
      </c>
      <c r="G312">
        <v>2</v>
      </c>
      <c r="H312">
        <v>319.89999999999998</v>
      </c>
      <c r="I312">
        <v>105</v>
      </c>
      <c r="J312">
        <v>639.79999999999995</v>
      </c>
      <c r="K312">
        <v>210</v>
      </c>
      <c r="L312">
        <v>429.8</v>
      </c>
      <c r="M312" t="s">
        <v>43</v>
      </c>
      <c r="N312" t="s">
        <v>27</v>
      </c>
    </row>
    <row r="313" spans="1:14" x14ac:dyDescent="0.25">
      <c r="A313" t="s">
        <v>537</v>
      </c>
      <c r="B313" s="1">
        <v>46273.740231481483</v>
      </c>
      <c r="C313" t="s">
        <v>529</v>
      </c>
      <c r="D313" t="s">
        <v>24</v>
      </c>
      <c r="E313" t="s">
        <v>50</v>
      </c>
      <c r="F313" t="s">
        <v>84</v>
      </c>
      <c r="G313">
        <v>1</v>
      </c>
      <c r="H313">
        <v>259.89999999999998</v>
      </c>
      <c r="I313">
        <v>82</v>
      </c>
      <c r="J313">
        <v>259.89999999999998</v>
      </c>
      <c r="K313">
        <v>82</v>
      </c>
      <c r="L313">
        <v>177.9</v>
      </c>
      <c r="M313" t="s">
        <v>20</v>
      </c>
      <c r="N313" t="s">
        <v>27</v>
      </c>
    </row>
    <row r="314" spans="1:14" x14ac:dyDescent="0.25">
      <c r="A314" t="s">
        <v>538</v>
      </c>
      <c r="B314" s="1">
        <v>46122.936701388891</v>
      </c>
      <c r="C314" t="s">
        <v>162</v>
      </c>
      <c r="D314" t="s">
        <v>1</v>
      </c>
      <c r="E314" t="s">
        <v>25</v>
      </c>
      <c r="F314" t="s">
        <v>26</v>
      </c>
      <c r="G314">
        <v>2</v>
      </c>
      <c r="H314">
        <v>139.9</v>
      </c>
      <c r="I314">
        <v>45</v>
      </c>
      <c r="J314">
        <v>279.8</v>
      </c>
      <c r="K314">
        <v>90</v>
      </c>
      <c r="L314">
        <v>189.8</v>
      </c>
      <c r="M314" t="s">
        <v>30</v>
      </c>
      <c r="N314" t="s">
        <v>27</v>
      </c>
    </row>
    <row r="315" spans="1:14" x14ac:dyDescent="0.25">
      <c r="A315" t="s">
        <v>539</v>
      </c>
      <c r="B315" s="1">
        <v>46274.435960648145</v>
      </c>
      <c r="C315" t="s">
        <v>97</v>
      </c>
      <c r="D315" t="s">
        <v>1</v>
      </c>
      <c r="E315" t="s">
        <v>50</v>
      </c>
      <c r="F315" t="s">
        <v>84</v>
      </c>
      <c r="G315">
        <v>1</v>
      </c>
      <c r="H315">
        <v>259.89999999999998</v>
      </c>
      <c r="I315">
        <v>82</v>
      </c>
      <c r="J315">
        <v>259.89999999999998</v>
      </c>
      <c r="K315">
        <v>82</v>
      </c>
      <c r="L315">
        <v>177.9</v>
      </c>
      <c r="M315" t="s">
        <v>20</v>
      </c>
      <c r="N315" t="s">
        <v>27</v>
      </c>
    </row>
    <row r="316" spans="1:14" x14ac:dyDescent="0.25">
      <c r="A316" t="s">
        <v>540</v>
      </c>
      <c r="B316" s="1">
        <v>46136.65834490741</v>
      </c>
      <c r="C316" t="s">
        <v>541</v>
      </c>
      <c r="D316" t="s">
        <v>36</v>
      </c>
      <c r="E316" t="s">
        <v>25</v>
      </c>
      <c r="F316" t="s">
        <v>40</v>
      </c>
      <c r="G316">
        <v>2</v>
      </c>
      <c r="H316">
        <v>139.9</v>
      </c>
      <c r="I316">
        <v>45</v>
      </c>
      <c r="J316">
        <v>279.8</v>
      </c>
      <c r="K316">
        <v>90</v>
      </c>
      <c r="L316">
        <v>189.8</v>
      </c>
      <c r="M316" t="s">
        <v>20</v>
      </c>
      <c r="N316" t="s">
        <v>21</v>
      </c>
    </row>
    <row r="317" spans="1:14" x14ac:dyDescent="0.25">
      <c r="A317" t="s">
        <v>542</v>
      </c>
      <c r="B317" s="1">
        <v>46307.961412037039</v>
      </c>
      <c r="C317" t="s">
        <v>75</v>
      </c>
      <c r="D317" t="s">
        <v>24</v>
      </c>
      <c r="E317" t="s">
        <v>25</v>
      </c>
      <c r="F317" t="s">
        <v>40</v>
      </c>
      <c r="G317">
        <v>1</v>
      </c>
      <c r="H317">
        <v>139.9</v>
      </c>
      <c r="I317">
        <v>45</v>
      </c>
      <c r="J317">
        <v>139.9</v>
      </c>
      <c r="K317">
        <v>45</v>
      </c>
      <c r="L317">
        <v>94.9</v>
      </c>
      <c r="M317" t="s">
        <v>20</v>
      </c>
      <c r="N317" t="s">
        <v>27</v>
      </c>
    </row>
    <row r="318" spans="1:14" x14ac:dyDescent="0.25">
      <c r="A318" t="s">
        <v>543</v>
      </c>
      <c r="B318" s="1">
        <v>46226.252372685187</v>
      </c>
      <c r="C318" t="s">
        <v>422</v>
      </c>
      <c r="D318" t="s">
        <v>24</v>
      </c>
      <c r="E318" t="s">
        <v>25</v>
      </c>
      <c r="F318" t="s">
        <v>47</v>
      </c>
      <c r="G318">
        <v>1</v>
      </c>
      <c r="H318">
        <v>159.9</v>
      </c>
      <c r="I318">
        <v>52</v>
      </c>
      <c r="J318">
        <v>159.9</v>
      </c>
      <c r="K318">
        <v>52</v>
      </c>
      <c r="L318">
        <v>107.9</v>
      </c>
      <c r="M318" t="s">
        <v>30</v>
      </c>
      <c r="N318" t="s">
        <v>67</v>
      </c>
    </row>
    <row r="319" spans="1:14" x14ac:dyDescent="0.25">
      <c r="A319" t="s">
        <v>544</v>
      </c>
      <c r="B319" s="1">
        <v>46120.069768518515</v>
      </c>
      <c r="C319" t="s">
        <v>545</v>
      </c>
      <c r="D319" t="s">
        <v>24</v>
      </c>
      <c r="E319" t="s">
        <v>50</v>
      </c>
      <c r="F319" t="s">
        <v>77</v>
      </c>
      <c r="G319">
        <v>1</v>
      </c>
      <c r="H319">
        <v>289.89999999999998</v>
      </c>
      <c r="I319">
        <v>95</v>
      </c>
      <c r="J319">
        <v>289.89999999999998</v>
      </c>
      <c r="K319">
        <v>95</v>
      </c>
      <c r="L319">
        <v>194.9</v>
      </c>
      <c r="M319" t="s">
        <v>30</v>
      </c>
      <c r="N319" t="s">
        <v>27</v>
      </c>
    </row>
    <row r="320" spans="1:14" x14ac:dyDescent="0.25">
      <c r="A320" t="s">
        <v>546</v>
      </c>
      <c r="B320" s="1">
        <v>46188.543796296297</v>
      </c>
      <c r="C320" t="s">
        <v>153</v>
      </c>
      <c r="D320" t="s">
        <v>54</v>
      </c>
      <c r="E320" t="s">
        <v>18</v>
      </c>
      <c r="F320" t="s">
        <v>222</v>
      </c>
      <c r="G320">
        <v>1</v>
      </c>
      <c r="H320">
        <v>79.900000000000006</v>
      </c>
      <c r="I320">
        <v>22</v>
      </c>
      <c r="J320">
        <v>79.900000000000006</v>
      </c>
      <c r="K320">
        <v>22</v>
      </c>
      <c r="L320">
        <v>57.9</v>
      </c>
      <c r="M320" t="s">
        <v>30</v>
      </c>
      <c r="N320" t="s">
        <v>27</v>
      </c>
    </row>
    <row r="321" spans="1:14" x14ac:dyDescent="0.25">
      <c r="A321" t="s">
        <v>547</v>
      </c>
      <c r="B321" s="1">
        <v>46150.370451388888</v>
      </c>
      <c r="C321" t="s">
        <v>147</v>
      </c>
      <c r="D321" t="s">
        <v>36</v>
      </c>
      <c r="E321" t="s">
        <v>25</v>
      </c>
      <c r="F321" t="s">
        <v>33</v>
      </c>
      <c r="G321">
        <v>1</v>
      </c>
      <c r="H321">
        <v>169.9</v>
      </c>
      <c r="I321">
        <v>55</v>
      </c>
      <c r="J321">
        <v>169.9</v>
      </c>
      <c r="K321">
        <v>55</v>
      </c>
      <c r="L321">
        <v>114.9</v>
      </c>
      <c r="M321" t="s">
        <v>30</v>
      </c>
      <c r="N321" t="s">
        <v>27</v>
      </c>
    </row>
    <row r="322" spans="1:14" x14ac:dyDescent="0.25">
      <c r="A322" t="s">
        <v>548</v>
      </c>
      <c r="B322" s="1">
        <v>46257.273148148146</v>
      </c>
      <c r="C322" t="s">
        <v>90</v>
      </c>
      <c r="D322" t="s">
        <v>24</v>
      </c>
      <c r="E322" t="s">
        <v>25</v>
      </c>
      <c r="F322" t="s">
        <v>26</v>
      </c>
      <c r="G322">
        <v>1</v>
      </c>
      <c r="H322">
        <v>139.9</v>
      </c>
      <c r="I322">
        <v>45</v>
      </c>
      <c r="J322">
        <v>139.9</v>
      </c>
      <c r="K322">
        <v>45</v>
      </c>
      <c r="L322">
        <v>94.9</v>
      </c>
      <c r="M322" t="s">
        <v>30</v>
      </c>
      <c r="N322" t="s">
        <v>21</v>
      </c>
    </row>
    <row r="323" spans="1:14" x14ac:dyDescent="0.25">
      <c r="A323" t="s">
        <v>549</v>
      </c>
      <c r="B323" s="1">
        <v>46133.924618055556</v>
      </c>
      <c r="C323" t="s">
        <v>520</v>
      </c>
      <c r="D323" t="s">
        <v>36</v>
      </c>
      <c r="E323" t="s">
        <v>25</v>
      </c>
      <c r="F323" t="s">
        <v>33</v>
      </c>
      <c r="G323">
        <v>2</v>
      </c>
      <c r="H323">
        <v>169.9</v>
      </c>
      <c r="I323">
        <v>55</v>
      </c>
      <c r="J323">
        <v>339.8</v>
      </c>
      <c r="K323">
        <v>110</v>
      </c>
      <c r="L323">
        <v>229.8</v>
      </c>
      <c r="M323" t="s">
        <v>30</v>
      </c>
      <c r="N323" t="s">
        <v>27</v>
      </c>
    </row>
    <row r="324" spans="1:14" x14ac:dyDescent="0.25">
      <c r="A324" t="s">
        <v>550</v>
      </c>
      <c r="B324" s="1">
        <v>46271.365347222221</v>
      </c>
      <c r="C324" t="s">
        <v>507</v>
      </c>
      <c r="D324" t="s">
        <v>76</v>
      </c>
      <c r="E324" t="s">
        <v>50</v>
      </c>
      <c r="F324" t="s">
        <v>84</v>
      </c>
      <c r="G324">
        <v>1</v>
      </c>
      <c r="H324">
        <v>259.89999999999998</v>
      </c>
      <c r="I324">
        <v>82</v>
      </c>
      <c r="J324">
        <v>259.89999999999998</v>
      </c>
      <c r="K324">
        <v>82</v>
      </c>
      <c r="L324">
        <v>177.9</v>
      </c>
      <c r="M324" t="s">
        <v>30</v>
      </c>
      <c r="N324" t="s">
        <v>27</v>
      </c>
    </row>
    <row r="325" spans="1:14" x14ac:dyDescent="0.25">
      <c r="A325" t="s">
        <v>551</v>
      </c>
      <c r="B325" s="1">
        <v>46149.352233796293</v>
      </c>
      <c r="C325" t="s">
        <v>552</v>
      </c>
      <c r="D325" t="s">
        <v>54</v>
      </c>
      <c r="E325" t="s">
        <v>18</v>
      </c>
      <c r="F325" t="s">
        <v>19</v>
      </c>
      <c r="G325">
        <v>2</v>
      </c>
      <c r="H325">
        <v>129.9</v>
      </c>
      <c r="I325">
        <v>40</v>
      </c>
      <c r="J325">
        <v>259.8</v>
      </c>
      <c r="K325">
        <v>80</v>
      </c>
      <c r="L325">
        <v>179.8</v>
      </c>
      <c r="M325" t="s">
        <v>20</v>
      </c>
      <c r="N325" t="s">
        <v>27</v>
      </c>
    </row>
    <row r="326" spans="1:14" x14ac:dyDescent="0.25">
      <c r="A326" t="s">
        <v>553</v>
      </c>
      <c r="B326" s="1">
        <v>46178.697175925925</v>
      </c>
      <c r="C326" t="s">
        <v>554</v>
      </c>
      <c r="D326" t="s">
        <v>1</v>
      </c>
      <c r="E326" t="s">
        <v>25</v>
      </c>
      <c r="F326" t="s">
        <v>40</v>
      </c>
      <c r="G326">
        <v>1</v>
      </c>
      <c r="H326">
        <v>139.9</v>
      </c>
      <c r="I326">
        <v>45</v>
      </c>
      <c r="J326">
        <v>139.9</v>
      </c>
      <c r="K326">
        <v>45</v>
      </c>
      <c r="L326">
        <v>94.9</v>
      </c>
      <c r="M326" t="s">
        <v>43</v>
      </c>
      <c r="N326" t="s">
        <v>27</v>
      </c>
    </row>
    <row r="327" spans="1:14" x14ac:dyDescent="0.25">
      <c r="A327" t="s">
        <v>555</v>
      </c>
      <c r="B327" s="1">
        <v>46232.436342592591</v>
      </c>
      <c r="C327" t="s">
        <v>29</v>
      </c>
      <c r="D327" t="s">
        <v>54</v>
      </c>
      <c r="E327" t="s">
        <v>25</v>
      </c>
      <c r="F327" t="s">
        <v>26</v>
      </c>
      <c r="G327">
        <v>1</v>
      </c>
      <c r="H327">
        <v>139.9</v>
      </c>
      <c r="I327">
        <v>45</v>
      </c>
      <c r="J327">
        <v>139.9</v>
      </c>
      <c r="K327">
        <v>45</v>
      </c>
      <c r="L327">
        <v>94.9</v>
      </c>
      <c r="M327" t="s">
        <v>30</v>
      </c>
      <c r="N327" t="s">
        <v>27</v>
      </c>
    </row>
    <row r="328" spans="1:14" x14ac:dyDescent="0.25">
      <c r="A328" t="s">
        <v>556</v>
      </c>
      <c r="B328" s="1">
        <v>46131.670115740744</v>
      </c>
      <c r="C328" t="s">
        <v>210</v>
      </c>
      <c r="D328" t="s">
        <v>72</v>
      </c>
      <c r="E328" t="s">
        <v>25</v>
      </c>
      <c r="F328" t="s">
        <v>47</v>
      </c>
      <c r="G328">
        <v>2</v>
      </c>
      <c r="H328">
        <v>159.9</v>
      </c>
      <c r="I328">
        <v>52</v>
      </c>
      <c r="J328">
        <v>319.8</v>
      </c>
      <c r="K328">
        <v>104</v>
      </c>
      <c r="L328">
        <v>215.8</v>
      </c>
      <c r="M328" t="s">
        <v>20</v>
      </c>
      <c r="N328" t="s">
        <v>27</v>
      </c>
    </row>
    <row r="329" spans="1:14" x14ac:dyDescent="0.25">
      <c r="A329" t="s">
        <v>557</v>
      </c>
      <c r="B329" s="1">
        <v>46263.453819444447</v>
      </c>
      <c r="C329" t="s">
        <v>439</v>
      </c>
      <c r="D329" t="s">
        <v>24</v>
      </c>
      <c r="E329" t="s">
        <v>25</v>
      </c>
      <c r="F329" t="s">
        <v>33</v>
      </c>
      <c r="G329">
        <v>1</v>
      </c>
      <c r="H329">
        <v>169.9</v>
      </c>
      <c r="I329">
        <v>55</v>
      </c>
      <c r="J329">
        <v>169.9</v>
      </c>
      <c r="K329">
        <v>55</v>
      </c>
      <c r="L329">
        <v>114.9</v>
      </c>
      <c r="M329" t="s">
        <v>43</v>
      </c>
      <c r="N329" t="s">
        <v>44</v>
      </c>
    </row>
    <row r="330" spans="1:14" x14ac:dyDescent="0.25">
      <c r="A330" t="s">
        <v>558</v>
      </c>
      <c r="B330" s="1">
        <v>46289.37939814815</v>
      </c>
      <c r="C330" t="s">
        <v>83</v>
      </c>
      <c r="D330" t="s">
        <v>36</v>
      </c>
      <c r="E330" t="s">
        <v>58</v>
      </c>
      <c r="F330" t="s">
        <v>73</v>
      </c>
      <c r="G330">
        <v>1</v>
      </c>
      <c r="H330">
        <v>219.9</v>
      </c>
      <c r="I330">
        <v>70</v>
      </c>
      <c r="J330">
        <v>219.9</v>
      </c>
      <c r="K330">
        <v>70</v>
      </c>
      <c r="L330">
        <v>149.9</v>
      </c>
      <c r="M330" t="s">
        <v>20</v>
      </c>
      <c r="N330" t="s">
        <v>21</v>
      </c>
    </row>
    <row r="331" spans="1:14" x14ac:dyDescent="0.25">
      <c r="A331" t="s">
        <v>559</v>
      </c>
      <c r="B331" s="1">
        <v>46163.583587962959</v>
      </c>
      <c r="C331" t="s">
        <v>240</v>
      </c>
      <c r="D331" t="s">
        <v>72</v>
      </c>
      <c r="E331" t="s">
        <v>25</v>
      </c>
      <c r="F331" t="s">
        <v>33</v>
      </c>
      <c r="G331">
        <v>2</v>
      </c>
      <c r="H331">
        <v>169.9</v>
      </c>
      <c r="I331">
        <v>55</v>
      </c>
      <c r="J331">
        <v>339.8</v>
      </c>
      <c r="K331">
        <v>110</v>
      </c>
      <c r="L331">
        <v>229.8</v>
      </c>
      <c r="M331" t="s">
        <v>20</v>
      </c>
      <c r="N331" t="s">
        <v>27</v>
      </c>
    </row>
    <row r="332" spans="1:14" x14ac:dyDescent="0.25">
      <c r="A332" t="s">
        <v>560</v>
      </c>
      <c r="B332" s="1">
        <v>46140.359849537039</v>
      </c>
      <c r="C332" t="s">
        <v>92</v>
      </c>
      <c r="D332" t="s">
        <v>24</v>
      </c>
      <c r="E332" t="s">
        <v>25</v>
      </c>
      <c r="F332" t="s">
        <v>47</v>
      </c>
      <c r="G332">
        <v>1</v>
      </c>
      <c r="H332">
        <v>159.9</v>
      </c>
      <c r="I332">
        <v>52</v>
      </c>
      <c r="J332">
        <v>159.9</v>
      </c>
      <c r="K332">
        <v>52</v>
      </c>
      <c r="L332">
        <v>107.9</v>
      </c>
      <c r="M332" t="s">
        <v>30</v>
      </c>
      <c r="N332" t="s">
        <v>21</v>
      </c>
    </row>
    <row r="333" spans="1:14" x14ac:dyDescent="0.25">
      <c r="A333" t="s">
        <v>561</v>
      </c>
      <c r="B333" s="1">
        <v>46260.448842592596</v>
      </c>
      <c r="C333" t="s">
        <v>88</v>
      </c>
      <c r="D333" t="s">
        <v>62</v>
      </c>
      <c r="E333" t="s">
        <v>50</v>
      </c>
      <c r="F333" t="s">
        <v>51</v>
      </c>
      <c r="G333">
        <v>1</v>
      </c>
      <c r="H333">
        <v>319.89999999999998</v>
      </c>
      <c r="I333">
        <v>105</v>
      </c>
      <c r="J333">
        <v>319.89999999999998</v>
      </c>
      <c r="K333">
        <v>105</v>
      </c>
      <c r="L333">
        <v>214.9</v>
      </c>
      <c r="M333" t="s">
        <v>30</v>
      </c>
      <c r="N333" t="s">
        <v>27</v>
      </c>
    </row>
    <row r="334" spans="1:14" x14ac:dyDescent="0.25">
      <c r="A334" t="s">
        <v>562</v>
      </c>
      <c r="B334" s="1">
        <v>46118.998553240737</v>
      </c>
      <c r="C334" t="s">
        <v>563</v>
      </c>
      <c r="D334" t="s">
        <v>36</v>
      </c>
      <c r="E334" t="s">
        <v>50</v>
      </c>
      <c r="F334" t="s">
        <v>51</v>
      </c>
      <c r="G334">
        <v>3</v>
      </c>
      <c r="H334">
        <v>319.89999999999998</v>
      </c>
      <c r="I334">
        <v>105</v>
      </c>
      <c r="J334">
        <v>959.7</v>
      </c>
      <c r="K334">
        <v>315</v>
      </c>
      <c r="L334">
        <v>644.70000000000005</v>
      </c>
      <c r="M334" t="s">
        <v>30</v>
      </c>
      <c r="N334" t="s">
        <v>67</v>
      </c>
    </row>
    <row r="335" spans="1:14" x14ac:dyDescent="0.25">
      <c r="A335" t="s">
        <v>564</v>
      </c>
      <c r="B335" s="1">
        <v>46115.858530092592</v>
      </c>
      <c r="C335" t="s">
        <v>81</v>
      </c>
      <c r="D335" t="s">
        <v>76</v>
      </c>
      <c r="E335" t="s">
        <v>25</v>
      </c>
      <c r="F335" t="s">
        <v>40</v>
      </c>
      <c r="G335">
        <v>3</v>
      </c>
      <c r="H335">
        <v>139.9</v>
      </c>
      <c r="I335">
        <v>45</v>
      </c>
      <c r="J335">
        <v>419.7</v>
      </c>
      <c r="K335">
        <v>135</v>
      </c>
      <c r="L335">
        <v>284.7</v>
      </c>
      <c r="M335" t="s">
        <v>30</v>
      </c>
      <c r="N335" t="s">
        <v>27</v>
      </c>
    </row>
    <row r="336" spans="1:14" x14ac:dyDescent="0.25">
      <c r="A336" t="s">
        <v>565</v>
      </c>
      <c r="B336" s="1">
        <v>46268.753553240742</v>
      </c>
      <c r="C336" t="s">
        <v>566</v>
      </c>
      <c r="D336" t="s">
        <v>1</v>
      </c>
      <c r="E336" t="s">
        <v>58</v>
      </c>
      <c r="F336" t="s">
        <v>73</v>
      </c>
      <c r="G336">
        <v>2</v>
      </c>
      <c r="H336">
        <v>219.9</v>
      </c>
      <c r="I336">
        <v>70</v>
      </c>
      <c r="J336">
        <v>439.8</v>
      </c>
      <c r="K336">
        <v>140</v>
      </c>
      <c r="L336">
        <v>299.8</v>
      </c>
      <c r="M336" t="s">
        <v>20</v>
      </c>
      <c r="N336" t="s">
        <v>27</v>
      </c>
    </row>
    <row r="337" spans="1:14" x14ac:dyDescent="0.25">
      <c r="A337" t="s">
        <v>567</v>
      </c>
      <c r="B337" s="1">
        <v>46311.349097222221</v>
      </c>
      <c r="C337" t="s">
        <v>384</v>
      </c>
      <c r="D337" t="s">
        <v>24</v>
      </c>
      <c r="E337" t="s">
        <v>25</v>
      </c>
      <c r="F337" t="s">
        <v>47</v>
      </c>
      <c r="G337">
        <v>1</v>
      </c>
      <c r="H337">
        <v>159.9</v>
      </c>
      <c r="I337">
        <v>52</v>
      </c>
      <c r="J337">
        <v>159.9</v>
      </c>
      <c r="K337">
        <v>52</v>
      </c>
      <c r="L337">
        <v>107.9</v>
      </c>
      <c r="M337" t="s">
        <v>30</v>
      </c>
      <c r="N337" t="s">
        <v>27</v>
      </c>
    </row>
    <row r="338" spans="1:14" x14ac:dyDescent="0.25">
      <c r="A338" t="s">
        <v>568</v>
      </c>
      <c r="B338" s="1">
        <v>46169.965763888889</v>
      </c>
      <c r="C338" t="s">
        <v>182</v>
      </c>
      <c r="D338" t="s">
        <v>24</v>
      </c>
      <c r="E338" t="s">
        <v>18</v>
      </c>
      <c r="F338" t="s">
        <v>19</v>
      </c>
      <c r="G338">
        <v>1</v>
      </c>
      <c r="H338">
        <v>129.9</v>
      </c>
      <c r="I338">
        <v>40</v>
      </c>
      <c r="J338">
        <v>129.9</v>
      </c>
      <c r="K338">
        <v>40</v>
      </c>
      <c r="L338">
        <v>89.9</v>
      </c>
      <c r="M338" t="s">
        <v>20</v>
      </c>
      <c r="N338" t="s">
        <v>21</v>
      </c>
    </row>
    <row r="339" spans="1:14" x14ac:dyDescent="0.25">
      <c r="A339" t="s">
        <v>569</v>
      </c>
      <c r="B339" s="1">
        <v>46178</v>
      </c>
      <c r="C339" t="s">
        <v>120</v>
      </c>
      <c r="D339" t="s">
        <v>76</v>
      </c>
      <c r="E339" t="s">
        <v>18</v>
      </c>
      <c r="F339" t="s">
        <v>135</v>
      </c>
      <c r="G339">
        <v>1</v>
      </c>
      <c r="H339">
        <v>89.9</v>
      </c>
      <c r="I339">
        <v>25</v>
      </c>
      <c r="J339">
        <v>89.9</v>
      </c>
      <c r="K339">
        <v>25</v>
      </c>
      <c r="L339">
        <v>64.900000000000006</v>
      </c>
      <c r="M339" t="s">
        <v>20</v>
      </c>
      <c r="N339" t="s">
        <v>27</v>
      </c>
    </row>
    <row r="340" spans="1:14" x14ac:dyDescent="0.25">
      <c r="A340" t="s">
        <v>570</v>
      </c>
      <c r="B340" s="1">
        <v>46273.14739583333</v>
      </c>
      <c r="C340" t="s">
        <v>571</v>
      </c>
      <c r="D340" t="s">
        <v>24</v>
      </c>
      <c r="E340" t="s">
        <v>50</v>
      </c>
      <c r="F340" t="s">
        <v>84</v>
      </c>
      <c r="G340">
        <v>1</v>
      </c>
      <c r="H340">
        <v>259.89999999999998</v>
      </c>
      <c r="I340">
        <v>82</v>
      </c>
      <c r="J340">
        <v>259.89999999999998</v>
      </c>
      <c r="K340">
        <v>82</v>
      </c>
      <c r="L340">
        <v>177.9</v>
      </c>
      <c r="M340" t="s">
        <v>30</v>
      </c>
      <c r="N340" t="s">
        <v>27</v>
      </c>
    </row>
    <row r="341" spans="1:14" x14ac:dyDescent="0.25">
      <c r="A341" t="s">
        <v>572</v>
      </c>
      <c r="B341" s="1">
        <v>46278.059803240743</v>
      </c>
      <c r="C341" t="s">
        <v>503</v>
      </c>
      <c r="D341" t="s">
        <v>24</v>
      </c>
      <c r="E341" t="s">
        <v>25</v>
      </c>
      <c r="F341" t="s">
        <v>33</v>
      </c>
      <c r="G341">
        <v>1</v>
      </c>
      <c r="H341">
        <v>169.9</v>
      </c>
      <c r="I341">
        <v>55</v>
      </c>
      <c r="J341">
        <v>169.9</v>
      </c>
      <c r="K341">
        <v>55</v>
      </c>
      <c r="L341">
        <v>114.9</v>
      </c>
      <c r="M341" t="s">
        <v>43</v>
      </c>
      <c r="N341" t="s">
        <v>27</v>
      </c>
    </row>
    <row r="342" spans="1:14" x14ac:dyDescent="0.25">
      <c r="A342" t="s">
        <v>573</v>
      </c>
      <c r="B342" s="1">
        <v>46121.879224537035</v>
      </c>
      <c r="C342" t="s">
        <v>292</v>
      </c>
      <c r="D342" t="s">
        <v>57</v>
      </c>
      <c r="E342" t="s">
        <v>25</v>
      </c>
      <c r="F342" t="s">
        <v>26</v>
      </c>
      <c r="G342">
        <v>1</v>
      </c>
      <c r="H342">
        <v>139.9</v>
      </c>
      <c r="I342">
        <v>45</v>
      </c>
      <c r="J342">
        <v>139.9</v>
      </c>
      <c r="K342">
        <v>45</v>
      </c>
      <c r="L342">
        <v>94.9</v>
      </c>
      <c r="M342" t="s">
        <v>20</v>
      </c>
      <c r="N342" t="s">
        <v>27</v>
      </c>
    </row>
    <row r="343" spans="1:14" x14ac:dyDescent="0.25">
      <c r="A343" t="s">
        <v>574</v>
      </c>
      <c r="B343" s="1">
        <v>46136.447685185187</v>
      </c>
      <c r="C343" t="s">
        <v>545</v>
      </c>
      <c r="D343" t="s">
        <v>24</v>
      </c>
      <c r="E343" t="s">
        <v>50</v>
      </c>
      <c r="F343" t="s">
        <v>84</v>
      </c>
      <c r="G343">
        <v>1</v>
      </c>
      <c r="H343">
        <v>259.89999999999998</v>
      </c>
      <c r="I343">
        <v>82</v>
      </c>
      <c r="J343">
        <v>259.89999999999998</v>
      </c>
      <c r="K343">
        <v>82</v>
      </c>
      <c r="L343">
        <v>177.9</v>
      </c>
      <c r="M343" t="s">
        <v>20</v>
      </c>
      <c r="N343" t="s">
        <v>27</v>
      </c>
    </row>
    <row r="344" spans="1:14" x14ac:dyDescent="0.25">
      <c r="A344" t="s">
        <v>575</v>
      </c>
      <c r="B344" s="1">
        <v>46219.266446759262</v>
      </c>
      <c r="C344" t="s">
        <v>271</v>
      </c>
      <c r="D344" t="s">
        <v>24</v>
      </c>
      <c r="E344" t="s">
        <v>25</v>
      </c>
      <c r="F344" t="s">
        <v>26</v>
      </c>
      <c r="G344">
        <v>2</v>
      </c>
      <c r="H344">
        <v>139.9</v>
      </c>
      <c r="I344">
        <v>45</v>
      </c>
      <c r="J344">
        <v>279.8</v>
      </c>
      <c r="K344">
        <v>90</v>
      </c>
      <c r="L344">
        <v>189.8</v>
      </c>
      <c r="M344" t="s">
        <v>30</v>
      </c>
      <c r="N344" t="s">
        <v>21</v>
      </c>
    </row>
    <row r="345" spans="1:14" x14ac:dyDescent="0.25">
      <c r="A345" t="s">
        <v>576</v>
      </c>
      <c r="B345" s="1">
        <v>46314.818298611113</v>
      </c>
      <c r="C345" t="s">
        <v>101</v>
      </c>
      <c r="D345" t="s">
        <v>165</v>
      </c>
      <c r="E345" t="s">
        <v>25</v>
      </c>
      <c r="F345" t="s">
        <v>47</v>
      </c>
      <c r="G345">
        <v>2</v>
      </c>
      <c r="H345">
        <v>159.9</v>
      </c>
      <c r="I345">
        <v>52</v>
      </c>
      <c r="J345">
        <v>319.8</v>
      </c>
      <c r="K345">
        <v>104</v>
      </c>
      <c r="L345">
        <v>215.8</v>
      </c>
      <c r="M345" t="s">
        <v>43</v>
      </c>
      <c r="N345" t="s">
        <v>27</v>
      </c>
    </row>
    <row r="346" spans="1:14" x14ac:dyDescent="0.25">
      <c r="A346" t="s">
        <v>577</v>
      </c>
      <c r="B346" s="1">
        <v>46248.761238425926</v>
      </c>
      <c r="C346" t="s">
        <v>531</v>
      </c>
      <c r="D346" t="s">
        <v>24</v>
      </c>
      <c r="E346" t="s">
        <v>25</v>
      </c>
      <c r="F346" t="s">
        <v>47</v>
      </c>
      <c r="G346">
        <v>1</v>
      </c>
      <c r="H346">
        <v>159.9</v>
      </c>
      <c r="I346">
        <v>52</v>
      </c>
      <c r="J346">
        <v>159.9</v>
      </c>
      <c r="K346">
        <v>52</v>
      </c>
      <c r="L346">
        <v>107.9</v>
      </c>
      <c r="M346" t="s">
        <v>30</v>
      </c>
      <c r="N346" t="s">
        <v>27</v>
      </c>
    </row>
    <row r="347" spans="1:14" x14ac:dyDescent="0.25">
      <c r="A347" t="s">
        <v>578</v>
      </c>
      <c r="B347" s="1">
        <v>46155.389826388891</v>
      </c>
      <c r="C347" t="s">
        <v>531</v>
      </c>
      <c r="D347" t="s">
        <v>24</v>
      </c>
      <c r="E347" t="s">
        <v>50</v>
      </c>
      <c r="F347" t="s">
        <v>51</v>
      </c>
      <c r="G347">
        <v>4</v>
      </c>
      <c r="H347">
        <v>319.89999999999998</v>
      </c>
      <c r="I347">
        <v>105</v>
      </c>
      <c r="J347">
        <v>1279.5999999999999</v>
      </c>
      <c r="K347">
        <v>420</v>
      </c>
      <c r="L347">
        <v>859.6</v>
      </c>
      <c r="M347" t="s">
        <v>20</v>
      </c>
      <c r="N347" t="s">
        <v>27</v>
      </c>
    </row>
    <row r="348" spans="1:14" x14ac:dyDescent="0.25">
      <c r="A348" t="s">
        <v>579</v>
      </c>
      <c r="B348" s="1">
        <v>46188.513842592591</v>
      </c>
      <c r="C348" t="s">
        <v>267</v>
      </c>
      <c r="D348" t="s">
        <v>24</v>
      </c>
      <c r="E348" t="s">
        <v>50</v>
      </c>
      <c r="F348" t="s">
        <v>77</v>
      </c>
      <c r="G348">
        <v>1</v>
      </c>
      <c r="H348">
        <v>289.89999999999998</v>
      </c>
      <c r="I348">
        <v>95</v>
      </c>
      <c r="J348">
        <v>289.89999999999998</v>
      </c>
      <c r="K348">
        <v>95</v>
      </c>
      <c r="L348">
        <v>194.9</v>
      </c>
      <c r="M348" t="s">
        <v>30</v>
      </c>
      <c r="N348" t="s">
        <v>21</v>
      </c>
    </row>
    <row r="349" spans="1:14" x14ac:dyDescent="0.25">
      <c r="A349" t="s">
        <v>580</v>
      </c>
      <c r="B349" s="1">
        <v>46232.114224537036</v>
      </c>
      <c r="C349" t="s">
        <v>581</v>
      </c>
      <c r="D349" t="s">
        <v>76</v>
      </c>
      <c r="E349" t="s">
        <v>25</v>
      </c>
      <c r="F349" t="s">
        <v>26</v>
      </c>
      <c r="G349">
        <v>1</v>
      </c>
      <c r="H349">
        <v>139.9</v>
      </c>
      <c r="I349">
        <v>45</v>
      </c>
      <c r="J349">
        <v>139.9</v>
      </c>
      <c r="K349">
        <v>45</v>
      </c>
      <c r="L349">
        <v>94.9</v>
      </c>
      <c r="M349" t="s">
        <v>30</v>
      </c>
      <c r="N349" t="s">
        <v>27</v>
      </c>
    </row>
    <row r="350" spans="1:14" x14ac:dyDescent="0.25">
      <c r="A350" t="s">
        <v>582</v>
      </c>
      <c r="B350" s="1">
        <v>46286.602881944447</v>
      </c>
      <c r="C350" t="s">
        <v>583</v>
      </c>
      <c r="D350" t="s">
        <v>39</v>
      </c>
      <c r="E350" t="s">
        <v>58</v>
      </c>
      <c r="F350" t="s">
        <v>95</v>
      </c>
      <c r="G350">
        <v>2</v>
      </c>
      <c r="H350">
        <v>279.89999999999998</v>
      </c>
      <c r="I350">
        <v>90</v>
      </c>
      <c r="J350">
        <v>559.79999999999995</v>
      </c>
      <c r="K350">
        <v>180</v>
      </c>
      <c r="L350">
        <v>379.8</v>
      </c>
      <c r="M350" t="s">
        <v>30</v>
      </c>
      <c r="N350" t="s">
        <v>27</v>
      </c>
    </row>
    <row r="351" spans="1:14" x14ac:dyDescent="0.25">
      <c r="A351" t="s">
        <v>584</v>
      </c>
      <c r="B351" s="1">
        <v>46206.136990740742</v>
      </c>
      <c r="C351" t="s">
        <v>452</v>
      </c>
      <c r="D351" t="s">
        <v>1</v>
      </c>
      <c r="E351" t="s">
        <v>25</v>
      </c>
      <c r="F351" t="s">
        <v>33</v>
      </c>
      <c r="G351">
        <v>1</v>
      </c>
      <c r="H351">
        <v>169.9</v>
      </c>
      <c r="I351">
        <v>55</v>
      </c>
      <c r="J351">
        <v>169.9</v>
      </c>
      <c r="K351">
        <v>55</v>
      </c>
      <c r="L351">
        <v>114.9</v>
      </c>
      <c r="M351" t="s">
        <v>20</v>
      </c>
      <c r="N351" t="s">
        <v>21</v>
      </c>
    </row>
    <row r="352" spans="1:14" x14ac:dyDescent="0.25">
      <c r="A352" t="s">
        <v>585</v>
      </c>
      <c r="B352" s="1">
        <v>46116.401192129626</v>
      </c>
      <c r="C352" t="s">
        <v>66</v>
      </c>
      <c r="D352" t="s">
        <v>36</v>
      </c>
      <c r="E352" t="s">
        <v>25</v>
      </c>
      <c r="F352" t="s">
        <v>40</v>
      </c>
      <c r="G352">
        <v>1</v>
      </c>
      <c r="H352">
        <v>139.9</v>
      </c>
      <c r="I352">
        <v>45</v>
      </c>
      <c r="J352">
        <v>139.9</v>
      </c>
      <c r="K352">
        <v>45</v>
      </c>
      <c r="L352">
        <v>94.9</v>
      </c>
      <c r="M352" t="s">
        <v>30</v>
      </c>
      <c r="N352" t="s">
        <v>67</v>
      </c>
    </row>
    <row r="353" spans="1:14" x14ac:dyDescent="0.25">
      <c r="A353" t="s">
        <v>586</v>
      </c>
      <c r="B353" s="1">
        <v>46229.559155092589</v>
      </c>
      <c r="C353" t="s">
        <v>176</v>
      </c>
      <c r="D353" t="s">
        <v>39</v>
      </c>
      <c r="E353" t="s">
        <v>18</v>
      </c>
      <c r="F353" t="s">
        <v>19</v>
      </c>
      <c r="G353">
        <v>1</v>
      </c>
      <c r="H353">
        <v>129.9</v>
      </c>
      <c r="I353">
        <v>40</v>
      </c>
      <c r="J353">
        <v>129.9</v>
      </c>
      <c r="K353">
        <v>40</v>
      </c>
      <c r="L353">
        <v>89.9</v>
      </c>
      <c r="M353" t="s">
        <v>30</v>
      </c>
      <c r="N353" t="s">
        <v>27</v>
      </c>
    </row>
    <row r="354" spans="1:14" x14ac:dyDescent="0.25">
      <c r="A354" t="s">
        <v>587</v>
      </c>
      <c r="B354" s="1">
        <v>46285.39770833333</v>
      </c>
      <c r="C354" t="s">
        <v>203</v>
      </c>
      <c r="D354" t="s">
        <v>1</v>
      </c>
      <c r="E354" t="s">
        <v>58</v>
      </c>
      <c r="F354" t="s">
        <v>73</v>
      </c>
      <c r="G354">
        <v>1</v>
      </c>
      <c r="H354">
        <v>219.9</v>
      </c>
      <c r="I354">
        <v>70</v>
      </c>
      <c r="J354">
        <v>219.9</v>
      </c>
      <c r="K354">
        <v>70</v>
      </c>
      <c r="L354">
        <v>149.9</v>
      </c>
      <c r="M354" t="s">
        <v>30</v>
      </c>
      <c r="N354" t="s">
        <v>21</v>
      </c>
    </row>
    <row r="355" spans="1:14" x14ac:dyDescent="0.25">
      <c r="A355" t="s">
        <v>588</v>
      </c>
      <c r="B355" s="1">
        <v>46276.563530092593</v>
      </c>
      <c r="C355" t="s">
        <v>589</v>
      </c>
      <c r="D355" t="s">
        <v>24</v>
      </c>
      <c r="E355" t="s">
        <v>58</v>
      </c>
      <c r="F355" t="s">
        <v>95</v>
      </c>
      <c r="G355">
        <v>1</v>
      </c>
      <c r="H355">
        <v>279.89999999999998</v>
      </c>
      <c r="I355">
        <v>90</v>
      </c>
      <c r="J355">
        <v>279.89999999999998</v>
      </c>
      <c r="K355">
        <v>90</v>
      </c>
      <c r="L355">
        <v>189.9</v>
      </c>
      <c r="M355" t="s">
        <v>30</v>
      </c>
      <c r="N355" t="s">
        <v>27</v>
      </c>
    </row>
    <row r="356" spans="1:14" x14ac:dyDescent="0.25">
      <c r="A356" t="s">
        <v>590</v>
      </c>
      <c r="B356" s="1">
        <v>46172.715243055558</v>
      </c>
      <c r="C356" t="s">
        <v>17</v>
      </c>
      <c r="D356" t="s">
        <v>1</v>
      </c>
      <c r="E356" t="s">
        <v>58</v>
      </c>
      <c r="F356" t="s">
        <v>95</v>
      </c>
      <c r="G356">
        <v>2</v>
      </c>
      <c r="H356">
        <v>279.89999999999998</v>
      </c>
      <c r="I356">
        <v>90</v>
      </c>
      <c r="J356">
        <v>559.79999999999995</v>
      </c>
      <c r="K356">
        <v>180</v>
      </c>
      <c r="L356">
        <v>379.8</v>
      </c>
      <c r="M356" t="s">
        <v>43</v>
      </c>
      <c r="N356" t="s">
        <v>44</v>
      </c>
    </row>
    <row r="357" spans="1:14" x14ac:dyDescent="0.25">
      <c r="A357" t="s">
        <v>591</v>
      </c>
      <c r="B357" s="1">
        <v>46256.49759259259</v>
      </c>
      <c r="C357" t="s">
        <v>592</v>
      </c>
      <c r="D357" t="s">
        <v>24</v>
      </c>
      <c r="E357" t="s">
        <v>50</v>
      </c>
      <c r="F357" t="s">
        <v>84</v>
      </c>
      <c r="G357">
        <v>1</v>
      </c>
      <c r="H357">
        <v>259.89999999999998</v>
      </c>
      <c r="I357">
        <v>82</v>
      </c>
      <c r="J357">
        <v>259.89999999999998</v>
      </c>
      <c r="K357">
        <v>82</v>
      </c>
      <c r="L357">
        <v>177.9</v>
      </c>
      <c r="M357" t="s">
        <v>30</v>
      </c>
      <c r="N357" t="s">
        <v>27</v>
      </c>
    </row>
    <row r="358" spans="1:14" x14ac:dyDescent="0.25">
      <c r="A358" t="s">
        <v>593</v>
      </c>
      <c r="B358" s="1">
        <v>46169.982511574075</v>
      </c>
      <c r="C358" t="s">
        <v>594</v>
      </c>
      <c r="D358" t="s">
        <v>24</v>
      </c>
      <c r="E358" t="s">
        <v>18</v>
      </c>
      <c r="F358" t="s">
        <v>19</v>
      </c>
      <c r="G358">
        <v>1</v>
      </c>
      <c r="H358">
        <v>129.9</v>
      </c>
      <c r="I358">
        <v>40</v>
      </c>
      <c r="J358">
        <v>129.9</v>
      </c>
      <c r="K358">
        <v>40</v>
      </c>
      <c r="L358">
        <v>89.9</v>
      </c>
      <c r="M358" t="s">
        <v>20</v>
      </c>
      <c r="N358" t="s">
        <v>27</v>
      </c>
    </row>
    <row r="359" spans="1:14" x14ac:dyDescent="0.25">
      <c r="A359" t="s">
        <v>595</v>
      </c>
      <c r="B359" s="1">
        <v>46231.458425925928</v>
      </c>
      <c r="C359" t="s">
        <v>596</v>
      </c>
      <c r="D359" t="s">
        <v>62</v>
      </c>
      <c r="E359" t="s">
        <v>50</v>
      </c>
      <c r="F359" t="s">
        <v>51</v>
      </c>
      <c r="G359">
        <v>1</v>
      </c>
      <c r="H359">
        <v>319.89999999999998</v>
      </c>
      <c r="I359">
        <v>105</v>
      </c>
      <c r="J359">
        <v>319.89999999999998</v>
      </c>
      <c r="K359">
        <v>105</v>
      </c>
      <c r="L359">
        <v>214.9</v>
      </c>
      <c r="M359" t="s">
        <v>30</v>
      </c>
      <c r="N359" t="s">
        <v>27</v>
      </c>
    </row>
    <row r="360" spans="1:14" x14ac:dyDescent="0.25">
      <c r="A360" t="s">
        <v>597</v>
      </c>
      <c r="B360" s="1">
        <v>46142.212037037039</v>
      </c>
      <c r="C360" t="s">
        <v>523</v>
      </c>
      <c r="D360" t="s">
        <v>24</v>
      </c>
      <c r="E360" t="s">
        <v>58</v>
      </c>
      <c r="F360" t="s">
        <v>59</v>
      </c>
      <c r="G360">
        <v>1</v>
      </c>
      <c r="H360">
        <v>249.9</v>
      </c>
      <c r="I360">
        <v>80</v>
      </c>
      <c r="J360">
        <v>249.9</v>
      </c>
      <c r="K360">
        <v>80</v>
      </c>
      <c r="L360">
        <v>169.9</v>
      </c>
      <c r="M360" t="s">
        <v>20</v>
      </c>
      <c r="N360" t="s">
        <v>21</v>
      </c>
    </row>
    <row r="361" spans="1:14" x14ac:dyDescent="0.25">
      <c r="A361" t="s">
        <v>598</v>
      </c>
      <c r="B361" s="1">
        <v>46190.74732638889</v>
      </c>
      <c r="C361" t="s">
        <v>235</v>
      </c>
      <c r="D361" t="s">
        <v>24</v>
      </c>
      <c r="E361" t="s">
        <v>58</v>
      </c>
      <c r="F361" t="s">
        <v>59</v>
      </c>
      <c r="G361">
        <v>1</v>
      </c>
      <c r="H361">
        <v>249.9</v>
      </c>
      <c r="I361">
        <v>80</v>
      </c>
      <c r="J361">
        <v>249.9</v>
      </c>
      <c r="K361">
        <v>80</v>
      </c>
      <c r="L361">
        <v>169.9</v>
      </c>
      <c r="M361" t="s">
        <v>30</v>
      </c>
      <c r="N361" t="s">
        <v>21</v>
      </c>
    </row>
    <row r="362" spans="1:14" x14ac:dyDescent="0.25">
      <c r="A362" t="s">
        <v>599</v>
      </c>
      <c r="B362" s="1">
        <v>46173.815474537034</v>
      </c>
      <c r="C362" t="s">
        <v>600</v>
      </c>
      <c r="D362" t="s">
        <v>57</v>
      </c>
      <c r="E362" t="s">
        <v>58</v>
      </c>
      <c r="F362" t="s">
        <v>73</v>
      </c>
      <c r="G362">
        <v>1</v>
      </c>
      <c r="H362">
        <v>219.9</v>
      </c>
      <c r="I362">
        <v>70</v>
      </c>
      <c r="J362">
        <v>219.9</v>
      </c>
      <c r="K362">
        <v>70</v>
      </c>
      <c r="L362">
        <v>149.9</v>
      </c>
      <c r="M362" t="s">
        <v>30</v>
      </c>
      <c r="N362" t="s">
        <v>27</v>
      </c>
    </row>
    <row r="363" spans="1:14" x14ac:dyDescent="0.25">
      <c r="A363" t="s">
        <v>601</v>
      </c>
      <c r="B363" s="1">
        <v>46229.562835648147</v>
      </c>
      <c r="C363" t="s">
        <v>217</v>
      </c>
      <c r="D363" t="s">
        <v>39</v>
      </c>
      <c r="E363" t="s">
        <v>50</v>
      </c>
      <c r="F363" t="s">
        <v>84</v>
      </c>
      <c r="G363">
        <v>1</v>
      </c>
      <c r="H363">
        <v>259.89999999999998</v>
      </c>
      <c r="I363">
        <v>82</v>
      </c>
      <c r="J363">
        <v>259.89999999999998</v>
      </c>
      <c r="K363">
        <v>82</v>
      </c>
      <c r="L363">
        <v>177.9</v>
      </c>
      <c r="M363" t="s">
        <v>30</v>
      </c>
      <c r="N363" t="s">
        <v>21</v>
      </c>
    </row>
    <row r="364" spans="1:14" x14ac:dyDescent="0.25">
      <c r="A364" t="s">
        <v>602</v>
      </c>
      <c r="B364" s="1">
        <v>46291.819490740738</v>
      </c>
      <c r="C364" t="s">
        <v>213</v>
      </c>
      <c r="D364" t="s">
        <v>54</v>
      </c>
      <c r="E364" t="s">
        <v>58</v>
      </c>
      <c r="F364" t="s">
        <v>95</v>
      </c>
      <c r="G364">
        <v>1</v>
      </c>
      <c r="H364">
        <v>279.89999999999998</v>
      </c>
      <c r="I364">
        <v>90</v>
      </c>
      <c r="J364">
        <v>279.89999999999998</v>
      </c>
      <c r="K364">
        <v>90</v>
      </c>
      <c r="L364">
        <v>189.9</v>
      </c>
      <c r="M364" t="s">
        <v>30</v>
      </c>
      <c r="N364" t="s">
        <v>21</v>
      </c>
    </row>
    <row r="365" spans="1:14" x14ac:dyDescent="0.25">
      <c r="A365" t="s">
        <v>603</v>
      </c>
      <c r="B365" s="1">
        <v>46303.234409722223</v>
      </c>
      <c r="C365" t="s">
        <v>71</v>
      </c>
      <c r="D365" t="s">
        <v>57</v>
      </c>
      <c r="E365" t="s">
        <v>25</v>
      </c>
      <c r="F365" t="s">
        <v>33</v>
      </c>
      <c r="G365">
        <v>2</v>
      </c>
      <c r="H365">
        <v>169.9</v>
      </c>
      <c r="I365">
        <v>55</v>
      </c>
      <c r="J365">
        <v>339.8</v>
      </c>
      <c r="K365">
        <v>110</v>
      </c>
      <c r="L365">
        <v>229.8</v>
      </c>
      <c r="M365" t="s">
        <v>20</v>
      </c>
      <c r="N365" t="s">
        <v>27</v>
      </c>
    </row>
    <row r="366" spans="1:14" x14ac:dyDescent="0.25">
      <c r="A366" t="s">
        <v>604</v>
      </c>
      <c r="B366" s="1">
        <v>46280.150208333333</v>
      </c>
      <c r="C366" t="s">
        <v>566</v>
      </c>
      <c r="D366" t="s">
        <v>24</v>
      </c>
      <c r="E366" t="s">
        <v>25</v>
      </c>
      <c r="F366" t="s">
        <v>33</v>
      </c>
      <c r="G366">
        <v>1</v>
      </c>
      <c r="H366">
        <v>169.9</v>
      </c>
      <c r="I366">
        <v>55</v>
      </c>
      <c r="J366">
        <v>169.9</v>
      </c>
      <c r="K366">
        <v>55</v>
      </c>
      <c r="L366">
        <v>114.9</v>
      </c>
      <c r="M366" t="s">
        <v>20</v>
      </c>
      <c r="N366" t="s">
        <v>27</v>
      </c>
    </row>
    <row r="367" spans="1:14" x14ac:dyDescent="0.25">
      <c r="A367" t="s">
        <v>605</v>
      </c>
      <c r="B367" s="1">
        <v>46270.619120370371</v>
      </c>
      <c r="C367" t="s">
        <v>606</v>
      </c>
      <c r="D367" t="s">
        <v>36</v>
      </c>
      <c r="E367" t="s">
        <v>25</v>
      </c>
      <c r="F367" t="s">
        <v>47</v>
      </c>
      <c r="G367">
        <v>3</v>
      </c>
      <c r="H367">
        <v>159.9</v>
      </c>
      <c r="I367">
        <v>52</v>
      </c>
      <c r="J367">
        <v>479.7</v>
      </c>
      <c r="K367">
        <v>156</v>
      </c>
      <c r="L367">
        <v>323.7</v>
      </c>
      <c r="M367" t="s">
        <v>20</v>
      </c>
      <c r="N367" t="s">
        <v>27</v>
      </c>
    </row>
    <row r="368" spans="1:14" x14ac:dyDescent="0.25">
      <c r="A368" t="s">
        <v>607</v>
      </c>
      <c r="B368" s="1">
        <v>46121.562106481484</v>
      </c>
      <c r="C368" t="s">
        <v>608</v>
      </c>
      <c r="D368" t="s">
        <v>165</v>
      </c>
      <c r="E368" t="s">
        <v>50</v>
      </c>
      <c r="F368" t="s">
        <v>51</v>
      </c>
      <c r="G368">
        <v>1</v>
      </c>
      <c r="H368">
        <v>319.89999999999998</v>
      </c>
      <c r="I368">
        <v>105</v>
      </c>
      <c r="J368">
        <v>319.89999999999998</v>
      </c>
      <c r="K368">
        <v>105</v>
      </c>
      <c r="L368">
        <v>214.9</v>
      </c>
      <c r="M368" t="s">
        <v>20</v>
      </c>
      <c r="N368" t="s">
        <v>27</v>
      </c>
    </row>
    <row r="369" spans="1:14" x14ac:dyDescent="0.25">
      <c r="A369" t="s">
        <v>609</v>
      </c>
      <c r="B369" s="1">
        <v>46226.358182870368</v>
      </c>
      <c r="C369" t="s">
        <v>240</v>
      </c>
      <c r="D369" t="s">
        <v>54</v>
      </c>
      <c r="E369" t="s">
        <v>25</v>
      </c>
      <c r="F369" t="s">
        <v>47</v>
      </c>
      <c r="G369">
        <v>1</v>
      </c>
      <c r="H369">
        <v>159.9</v>
      </c>
      <c r="I369">
        <v>52</v>
      </c>
      <c r="J369">
        <v>159.9</v>
      </c>
      <c r="K369">
        <v>52</v>
      </c>
      <c r="L369">
        <v>107.9</v>
      </c>
      <c r="M369" t="s">
        <v>43</v>
      </c>
      <c r="N369" t="s">
        <v>27</v>
      </c>
    </row>
    <row r="370" spans="1:14" x14ac:dyDescent="0.25">
      <c r="A370" t="s">
        <v>610</v>
      </c>
      <c r="B370" s="1">
        <v>46138.557256944441</v>
      </c>
      <c r="C370" t="s">
        <v>252</v>
      </c>
      <c r="D370" t="s">
        <v>1</v>
      </c>
      <c r="E370" t="s">
        <v>25</v>
      </c>
      <c r="F370" t="s">
        <v>47</v>
      </c>
      <c r="G370">
        <v>1</v>
      </c>
      <c r="H370">
        <v>159.9</v>
      </c>
      <c r="I370">
        <v>52</v>
      </c>
      <c r="J370">
        <v>159.9</v>
      </c>
      <c r="K370">
        <v>52</v>
      </c>
      <c r="L370">
        <v>107.9</v>
      </c>
      <c r="M370" t="s">
        <v>20</v>
      </c>
      <c r="N370" t="s">
        <v>67</v>
      </c>
    </row>
    <row r="371" spans="1:14" x14ac:dyDescent="0.25">
      <c r="A371" t="s">
        <v>611</v>
      </c>
      <c r="B371" s="1">
        <v>46128.603981481479</v>
      </c>
      <c r="C371" t="s">
        <v>432</v>
      </c>
      <c r="D371" t="s">
        <v>24</v>
      </c>
      <c r="E371" t="s">
        <v>25</v>
      </c>
      <c r="F371" t="s">
        <v>26</v>
      </c>
      <c r="G371">
        <v>1</v>
      </c>
      <c r="H371">
        <v>139.9</v>
      </c>
      <c r="I371">
        <v>45</v>
      </c>
      <c r="J371">
        <v>139.9</v>
      </c>
      <c r="K371">
        <v>45</v>
      </c>
      <c r="L371">
        <v>94.9</v>
      </c>
      <c r="M371" t="s">
        <v>43</v>
      </c>
      <c r="N371" t="s">
        <v>67</v>
      </c>
    </row>
    <row r="372" spans="1:14" x14ac:dyDescent="0.25">
      <c r="A372" t="s">
        <v>612</v>
      </c>
      <c r="B372" s="1">
        <v>46144.689814814818</v>
      </c>
      <c r="C372" t="s">
        <v>35</v>
      </c>
      <c r="D372" t="s">
        <v>24</v>
      </c>
      <c r="E372" t="s">
        <v>58</v>
      </c>
      <c r="F372" t="s">
        <v>95</v>
      </c>
      <c r="G372">
        <v>2</v>
      </c>
      <c r="H372">
        <v>279.89999999999998</v>
      </c>
      <c r="I372">
        <v>90</v>
      </c>
      <c r="J372">
        <v>559.79999999999995</v>
      </c>
      <c r="K372">
        <v>180</v>
      </c>
      <c r="L372">
        <v>379.8</v>
      </c>
      <c r="M372" t="s">
        <v>20</v>
      </c>
      <c r="N372" t="s">
        <v>27</v>
      </c>
    </row>
    <row r="373" spans="1:14" x14ac:dyDescent="0.25">
      <c r="A373" t="s">
        <v>613</v>
      </c>
      <c r="B373" s="1">
        <v>46167.973483796297</v>
      </c>
      <c r="C373" t="s">
        <v>439</v>
      </c>
      <c r="D373" t="s">
        <v>24</v>
      </c>
      <c r="E373" t="s">
        <v>58</v>
      </c>
      <c r="F373" t="s">
        <v>95</v>
      </c>
      <c r="G373">
        <v>1</v>
      </c>
      <c r="H373">
        <v>279.89999999999998</v>
      </c>
      <c r="I373">
        <v>90</v>
      </c>
      <c r="J373">
        <v>279.89999999999998</v>
      </c>
      <c r="K373">
        <v>90</v>
      </c>
      <c r="L373">
        <v>189.9</v>
      </c>
      <c r="M373" t="s">
        <v>20</v>
      </c>
      <c r="N373" t="s">
        <v>27</v>
      </c>
    </row>
    <row r="374" spans="1:14" x14ac:dyDescent="0.25">
      <c r="A374" t="s">
        <v>614</v>
      </c>
      <c r="B374" s="1">
        <v>46118.076724537037</v>
      </c>
      <c r="C374" t="s">
        <v>306</v>
      </c>
      <c r="D374" t="s">
        <v>39</v>
      </c>
      <c r="E374" t="s">
        <v>50</v>
      </c>
      <c r="F374" t="s">
        <v>51</v>
      </c>
      <c r="G374">
        <v>1</v>
      </c>
      <c r="H374">
        <v>319.89999999999998</v>
      </c>
      <c r="I374">
        <v>105</v>
      </c>
      <c r="J374">
        <v>319.89999999999998</v>
      </c>
      <c r="K374">
        <v>105</v>
      </c>
      <c r="L374">
        <v>214.9</v>
      </c>
      <c r="M374" t="s">
        <v>20</v>
      </c>
      <c r="N374" t="s">
        <v>67</v>
      </c>
    </row>
    <row r="375" spans="1:14" x14ac:dyDescent="0.25">
      <c r="A375" t="s">
        <v>615</v>
      </c>
      <c r="B375" s="1">
        <v>46175.191030092596</v>
      </c>
      <c r="C375" t="s">
        <v>306</v>
      </c>
      <c r="D375" t="s">
        <v>62</v>
      </c>
      <c r="E375" t="s">
        <v>25</v>
      </c>
      <c r="F375" t="s">
        <v>26</v>
      </c>
      <c r="G375">
        <v>1</v>
      </c>
      <c r="H375">
        <v>139.9</v>
      </c>
      <c r="I375">
        <v>45</v>
      </c>
      <c r="J375">
        <v>139.9</v>
      </c>
      <c r="K375">
        <v>45</v>
      </c>
      <c r="L375">
        <v>94.9</v>
      </c>
      <c r="M375" t="s">
        <v>30</v>
      </c>
      <c r="N375" t="s">
        <v>27</v>
      </c>
    </row>
    <row r="376" spans="1:14" x14ac:dyDescent="0.25">
      <c r="A376" t="s">
        <v>616</v>
      </c>
      <c r="B376" s="1">
        <v>46130.840752314813</v>
      </c>
      <c r="C376" t="s">
        <v>238</v>
      </c>
      <c r="D376" t="s">
        <v>39</v>
      </c>
      <c r="E376" t="s">
        <v>25</v>
      </c>
      <c r="F376" t="s">
        <v>26</v>
      </c>
      <c r="G376">
        <v>1</v>
      </c>
      <c r="H376">
        <v>139.9</v>
      </c>
      <c r="I376">
        <v>45</v>
      </c>
      <c r="J376">
        <v>139.9</v>
      </c>
      <c r="K376">
        <v>45</v>
      </c>
      <c r="L376">
        <v>94.9</v>
      </c>
      <c r="M376" t="s">
        <v>20</v>
      </c>
      <c r="N376" t="s">
        <v>27</v>
      </c>
    </row>
    <row r="377" spans="1:14" x14ac:dyDescent="0.25">
      <c r="A377" t="s">
        <v>617</v>
      </c>
      <c r="B377" s="1">
        <v>46172.498425925929</v>
      </c>
      <c r="C377" t="s">
        <v>618</v>
      </c>
      <c r="D377" t="s">
        <v>36</v>
      </c>
      <c r="E377" t="s">
        <v>50</v>
      </c>
      <c r="F377" t="s">
        <v>77</v>
      </c>
      <c r="G377">
        <v>1</v>
      </c>
      <c r="H377">
        <v>289.89999999999998</v>
      </c>
      <c r="I377">
        <v>95</v>
      </c>
      <c r="J377">
        <v>289.89999999999998</v>
      </c>
      <c r="K377">
        <v>95</v>
      </c>
      <c r="L377">
        <v>194.9</v>
      </c>
      <c r="M377" t="s">
        <v>30</v>
      </c>
      <c r="N377" t="s">
        <v>27</v>
      </c>
    </row>
    <row r="378" spans="1:14" x14ac:dyDescent="0.25">
      <c r="A378" t="s">
        <v>619</v>
      </c>
      <c r="B378" s="1">
        <v>46314.904120370367</v>
      </c>
      <c r="C378" t="s">
        <v>126</v>
      </c>
      <c r="D378" t="s">
        <v>54</v>
      </c>
      <c r="E378" t="s">
        <v>58</v>
      </c>
      <c r="F378" t="s">
        <v>73</v>
      </c>
      <c r="G378">
        <v>1</v>
      </c>
      <c r="H378">
        <v>219.9</v>
      </c>
      <c r="I378">
        <v>70</v>
      </c>
      <c r="J378">
        <v>219.9</v>
      </c>
      <c r="K378">
        <v>70</v>
      </c>
      <c r="L378">
        <v>149.9</v>
      </c>
      <c r="M378" t="s">
        <v>20</v>
      </c>
      <c r="N378" t="s">
        <v>21</v>
      </c>
    </row>
    <row r="379" spans="1:14" x14ac:dyDescent="0.25">
      <c r="A379" t="s">
        <v>620</v>
      </c>
      <c r="B379" s="1">
        <v>46150.197199074071</v>
      </c>
      <c r="C379" t="s">
        <v>476</v>
      </c>
      <c r="D379" t="s">
        <v>1</v>
      </c>
      <c r="E379" t="s">
        <v>25</v>
      </c>
      <c r="F379" t="s">
        <v>47</v>
      </c>
      <c r="G379">
        <v>1</v>
      </c>
      <c r="H379">
        <v>159.9</v>
      </c>
      <c r="I379">
        <v>52</v>
      </c>
      <c r="J379">
        <v>159.9</v>
      </c>
      <c r="K379">
        <v>52</v>
      </c>
      <c r="L379">
        <v>107.9</v>
      </c>
      <c r="M379" t="s">
        <v>20</v>
      </c>
      <c r="N379" t="s">
        <v>67</v>
      </c>
    </row>
    <row r="380" spans="1:14" x14ac:dyDescent="0.25">
      <c r="A380" t="s">
        <v>621</v>
      </c>
      <c r="B380" s="1">
        <v>46157.166759259257</v>
      </c>
      <c r="C380" t="s">
        <v>196</v>
      </c>
      <c r="D380" t="s">
        <v>24</v>
      </c>
      <c r="E380" t="s">
        <v>25</v>
      </c>
      <c r="F380" t="s">
        <v>40</v>
      </c>
      <c r="G380">
        <v>2</v>
      </c>
      <c r="H380">
        <v>139.9</v>
      </c>
      <c r="I380">
        <v>45</v>
      </c>
      <c r="J380">
        <v>279.8</v>
      </c>
      <c r="K380">
        <v>90</v>
      </c>
      <c r="L380">
        <v>189.8</v>
      </c>
      <c r="M380" t="s">
        <v>30</v>
      </c>
      <c r="N380" t="s">
        <v>27</v>
      </c>
    </row>
    <row r="381" spans="1:14" x14ac:dyDescent="0.25">
      <c r="A381" t="s">
        <v>622</v>
      </c>
      <c r="B381" s="1">
        <v>46146.022534722222</v>
      </c>
      <c r="C381" t="s">
        <v>61</v>
      </c>
      <c r="D381" t="s">
        <v>72</v>
      </c>
      <c r="E381" t="s">
        <v>50</v>
      </c>
      <c r="F381" t="s">
        <v>77</v>
      </c>
      <c r="G381">
        <v>1</v>
      </c>
      <c r="H381">
        <v>289.89999999999998</v>
      </c>
      <c r="I381">
        <v>95</v>
      </c>
      <c r="J381">
        <v>289.89999999999998</v>
      </c>
      <c r="K381">
        <v>95</v>
      </c>
      <c r="L381">
        <v>194.9</v>
      </c>
      <c r="M381" t="s">
        <v>30</v>
      </c>
      <c r="N381" t="s">
        <v>27</v>
      </c>
    </row>
    <row r="382" spans="1:14" x14ac:dyDescent="0.25">
      <c r="A382" t="s">
        <v>623</v>
      </c>
      <c r="B382" s="1">
        <v>46263.491168981483</v>
      </c>
      <c r="C382" t="s">
        <v>624</v>
      </c>
      <c r="D382" t="s">
        <v>36</v>
      </c>
      <c r="E382" t="s">
        <v>25</v>
      </c>
      <c r="F382" t="s">
        <v>26</v>
      </c>
      <c r="G382">
        <v>2</v>
      </c>
      <c r="H382">
        <v>139.9</v>
      </c>
      <c r="I382">
        <v>45</v>
      </c>
      <c r="J382">
        <v>279.8</v>
      </c>
      <c r="K382">
        <v>90</v>
      </c>
      <c r="L382">
        <v>189.8</v>
      </c>
      <c r="M382" t="s">
        <v>30</v>
      </c>
      <c r="N382" t="s">
        <v>27</v>
      </c>
    </row>
    <row r="383" spans="1:14" x14ac:dyDescent="0.25">
      <c r="A383" t="s">
        <v>625</v>
      </c>
      <c r="B383" s="1">
        <v>46180.07949074074</v>
      </c>
      <c r="C383" t="s">
        <v>436</v>
      </c>
      <c r="D383" t="s">
        <v>24</v>
      </c>
      <c r="E383" t="s">
        <v>18</v>
      </c>
      <c r="F383" t="s">
        <v>19</v>
      </c>
      <c r="G383">
        <v>1</v>
      </c>
      <c r="H383">
        <v>129.9</v>
      </c>
      <c r="I383">
        <v>40</v>
      </c>
      <c r="J383">
        <v>129.9</v>
      </c>
      <c r="K383">
        <v>40</v>
      </c>
      <c r="L383">
        <v>89.9</v>
      </c>
      <c r="M383" t="s">
        <v>30</v>
      </c>
      <c r="N383" t="s">
        <v>21</v>
      </c>
    </row>
    <row r="384" spans="1:14" x14ac:dyDescent="0.25">
      <c r="A384" t="s">
        <v>626</v>
      </c>
      <c r="B384" s="1">
        <v>46220.798090277778</v>
      </c>
      <c r="C384" t="s">
        <v>235</v>
      </c>
      <c r="D384" t="s">
        <v>24</v>
      </c>
      <c r="E384" t="s">
        <v>58</v>
      </c>
      <c r="F384" t="s">
        <v>95</v>
      </c>
      <c r="G384">
        <v>4</v>
      </c>
      <c r="H384">
        <v>279.89999999999998</v>
      </c>
      <c r="I384">
        <v>90</v>
      </c>
      <c r="J384">
        <v>1119.5999999999999</v>
      </c>
      <c r="K384">
        <v>360</v>
      </c>
      <c r="L384">
        <v>759.6</v>
      </c>
      <c r="M384" t="s">
        <v>30</v>
      </c>
      <c r="N384" t="s">
        <v>27</v>
      </c>
    </row>
    <row r="385" spans="1:14" x14ac:dyDescent="0.25">
      <c r="A385" t="s">
        <v>627</v>
      </c>
      <c r="B385" s="1">
        <v>46129.72247685185</v>
      </c>
      <c r="C385" t="s">
        <v>517</v>
      </c>
      <c r="D385" t="s">
        <v>72</v>
      </c>
      <c r="E385" t="s">
        <v>58</v>
      </c>
      <c r="F385" t="s">
        <v>73</v>
      </c>
      <c r="G385">
        <v>1</v>
      </c>
      <c r="H385">
        <v>219.9</v>
      </c>
      <c r="I385">
        <v>70</v>
      </c>
      <c r="J385">
        <v>219.9</v>
      </c>
      <c r="K385">
        <v>70</v>
      </c>
      <c r="L385">
        <v>149.9</v>
      </c>
      <c r="M385" t="s">
        <v>30</v>
      </c>
      <c r="N385" t="s">
        <v>27</v>
      </c>
    </row>
    <row r="386" spans="1:14" x14ac:dyDescent="0.25">
      <c r="A386" t="s">
        <v>628</v>
      </c>
      <c r="B386" s="1">
        <v>46244.900601851848</v>
      </c>
      <c r="C386" t="s">
        <v>589</v>
      </c>
      <c r="D386" t="s">
        <v>54</v>
      </c>
      <c r="E386" t="s">
        <v>25</v>
      </c>
      <c r="F386" t="s">
        <v>33</v>
      </c>
      <c r="G386">
        <v>1</v>
      </c>
      <c r="H386">
        <v>169.9</v>
      </c>
      <c r="I386">
        <v>55</v>
      </c>
      <c r="J386">
        <v>169.9</v>
      </c>
      <c r="K386">
        <v>55</v>
      </c>
      <c r="L386">
        <v>114.9</v>
      </c>
      <c r="M386" t="s">
        <v>30</v>
      </c>
      <c r="N386" t="s">
        <v>27</v>
      </c>
    </row>
    <row r="387" spans="1:14" x14ac:dyDescent="0.25">
      <c r="A387" t="s">
        <v>629</v>
      </c>
      <c r="B387" s="1">
        <v>46241.336087962962</v>
      </c>
      <c r="C387" t="s">
        <v>145</v>
      </c>
      <c r="D387" t="s">
        <v>24</v>
      </c>
      <c r="E387" t="s">
        <v>50</v>
      </c>
      <c r="F387" t="s">
        <v>84</v>
      </c>
      <c r="G387">
        <v>1</v>
      </c>
      <c r="H387">
        <v>259.89999999999998</v>
      </c>
      <c r="I387">
        <v>82</v>
      </c>
      <c r="J387">
        <v>259.89999999999998</v>
      </c>
      <c r="K387">
        <v>82</v>
      </c>
      <c r="L387">
        <v>177.9</v>
      </c>
      <c r="M387" t="s">
        <v>20</v>
      </c>
      <c r="N387" t="s">
        <v>21</v>
      </c>
    </row>
    <row r="388" spans="1:14" x14ac:dyDescent="0.25">
      <c r="A388" t="s">
        <v>630</v>
      </c>
      <c r="B388" s="1">
        <v>46124.999571759261</v>
      </c>
      <c r="C388" t="s">
        <v>215</v>
      </c>
      <c r="D388" t="s">
        <v>36</v>
      </c>
      <c r="E388" t="s">
        <v>50</v>
      </c>
      <c r="F388" t="s">
        <v>51</v>
      </c>
      <c r="G388">
        <v>1</v>
      </c>
      <c r="H388">
        <v>319.89999999999998</v>
      </c>
      <c r="I388">
        <v>105</v>
      </c>
      <c r="J388">
        <v>319.89999999999998</v>
      </c>
      <c r="K388">
        <v>105</v>
      </c>
      <c r="L388">
        <v>214.9</v>
      </c>
      <c r="M388" t="s">
        <v>20</v>
      </c>
      <c r="N388" t="s">
        <v>27</v>
      </c>
    </row>
    <row r="389" spans="1:14" x14ac:dyDescent="0.25">
      <c r="A389" t="s">
        <v>631</v>
      </c>
      <c r="B389" s="1">
        <v>46230.975960648146</v>
      </c>
      <c r="C389" t="s">
        <v>283</v>
      </c>
      <c r="D389" t="s">
        <v>39</v>
      </c>
      <c r="E389" t="s">
        <v>25</v>
      </c>
      <c r="F389" t="s">
        <v>40</v>
      </c>
      <c r="G389">
        <v>2</v>
      </c>
      <c r="H389">
        <v>139.9</v>
      </c>
      <c r="I389">
        <v>45</v>
      </c>
      <c r="J389">
        <v>279.8</v>
      </c>
      <c r="K389">
        <v>90</v>
      </c>
      <c r="L389">
        <v>189.8</v>
      </c>
      <c r="M389" t="s">
        <v>30</v>
      </c>
      <c r="N389" t="s">
        <v>21</v>
      </c>
    </row>
    <row r="390" spans="1:14" x14ac:dyDescent="0.25">
      <c r="A390" t="s">
        <v>632</v>
      </c>
      <c r="B390" s="1">
        <v>46128.726631944446</v>
      </c>
      <c r="C390" t="s">
        <v>633</v>
      </c>
      <c r="D390" t="s">
        <v>24</v>
      </c>
      <c r="E390" t="s">
        <v>25</v>
      </c>
      <c r="F390" t="s">
        <v>33</v>
      </c>
      <c r="G390">
        <v>2</v>
      </c>
      <c r="H390">
        <v>169.9</v>
      </c>
      <c r="I390">
        <v>55</v>
      </c>
      <c r="J390">
        <v>339.8</v>
      </c>
      <c r="K390">
        <v>110</v>
      </c>
      <c r="L390">
        <v>229.8</v>
      </c>
      <c r="M390" t="s">
        <v>20</v>
      </c>
      <c r="N390" t="s">
        <v>27</v>
      </c>
    </row>
    <row r="391" spans="1:14" x14ac:dyDescent="0.25">
      <c r="A391" t="s">
        <v>634</v>
      </c>
      <c r="B391" s="1">
        <v>46222.163773148146</v>
      </c>
      <c r="C391" t="s">
        <v>137</v>
      </c>
      <c r="D391" t="s">
        <v>36</v>
      </c>
      <c r="E391" t="s">
        <v>25</v>
      </c>
      <c r="F391" t="s">
        <v>33</v>
      </c>
      <c r="G391">
        <v>1</v>
      </c>
      <c r="H391">
        <v>169.9</v>
      </c>
      <c r="I391">
        <v>55</v>
      </c>
      <c r="J391">
        <v>169.9</v>
      </c>
      <c r="K391">
        <v>55</v>
      </c>
      <c r="L391">
        <v>114.9</v>
      </c>
      <c r="M391" t="s">
        <v>30</v>
      </c>
      <c r="N391" t="s">
        <v>27</v>
      </c>
    </row>
    <row r="392" spans="1:14" x14ac:dyDescent="0.25">
      <c r="A392" t="s">
        <v>635</v>
      </c>
      <c r="B392" s="1">
        <v>46131.122557870367</v>
      </c>
      <c r="C392" t="s">
        <v>636</v>
      </c>
      <c r="D392" t="s">
        <v>24</v>
      </c>
      <c r="E392" t="s">
        <v>25</v>
      </c>
      <c r="F392" t="s">
        <v>26</v>
      </c>
      <c r="G392">
        <v>1</v>
      </c>
      <c r="H392">
        <v>139.9</v>
      </c>
      <c r="I392">
        <v>45</v>
      </c>
      <c r="J392">
        <v>139.9</v>
      </c>
      <c r="K392">
        <v>45</v>
      </c>
      <c r="L392">
        <v>94.9</v>
      </c>
      <c r="M392" t="s">
        <v>20</v>
      </c>
      <c r="N392" t="s">
        <v>67</v>
      </c>
    </row>
    <row r="393" spans="1:14" x14ac:dyDescent="0.25">
      <c r="A393" t="s">
        <v>637</v>
      </c>
      <c r="B393" s="1">
        <v>46129.191435185188</v>
      </c>
      <c r="C393" t="s">
        <v>432</v>
      </c>
      <c r="D393" t="s">
        <v>62</v>
      </c>
      <c r="E393" t="s">
        <v>50</v>
      </c>
      <c r="F393" t="s">
        <v>84</v>
      </c>
      <c r="G393">
        <v>1</v>
      </c>
      <c r="H393">
        <v>259.89999999999998</v>
      </c>
      <c r="I393">
        <v>82</v>
      </c>
      <c r="J393">
        <v>259.89999999999998</v>
      </c>
      <c r="K393">
        <v>82</v>
      </c>
      <c r="L393">
        <v>177.9</v>
      </c>
      <c r="M393" t="s">
        <v>20</v>
      </c>
      <c r="N393" t="s">
        <v>27</v>
      </c>
    </row>
    <row r="394" spans="1:14" x14ac:dyDescent="0.25">
      <c r="A394" t="s">
        <v>638</v>
      </c>
      <c r="B394" s="1">
        <v>46275.888009259259</v>
      </c>
      <c r="C394" t="s">
        <v>639</v>
      </c>
      <c r="D394" t="s">
        <v>24</v>
      </c>
      <c r="E394" t="s">
        <v>25</v>
      </c>
      <c r="F394" t="s">
        <v>47</v>
      </c>
      <c r="G394">
        <v>2</v>
      </c>
      <c r="H394">
        <v>159.9</v>
      </c>
      <c r="I394">
        <v>52</v>
      </c>
      <c r="J394">
        <v>319.8</v>
      </c>
      <c r="K394">
        <v>104</v>
      </c>
      <c r="L394">
        <v>215.8</v>
      </c>
      <c r="M394" t="s">
        <v>30</v>
      </c>
      <c r="N394" t="s">
        <v>27</v>
      </c>
    </row>
    <row r="395" spans="1:14" x14ac:dyDescent="0.25">
      <c r="A395" t="s">
        <v>640</v>
      </c>
      <c r="B395" s="1">
        <v>46210.906261574077</v>
      </c>
      <c r="C395" t="s">
        <v>147</v>
      </c>
      <c r="D395" t="s">
        <v>36</v>
      </c>
      <c r="E395" t="s">
        <v>25</v>
      </c>
      <c r="F395" t="s">
        <v>47</v>
      </c>
      <c r="G395">
        <v>1</v>
      </c>
      <c r="H395">
        <v>159.9</v>
      </c>
      <c r="I395">
        <v>52</v>
      </c>
      <c r="J395">
        <v>159.9</v>
      </c>
      <c r="K395">
        <v>52</v>
      </c>
      <c r="L395">
        <v>107.9</v>
      </c>
      <c r="M395" t="s">
        <v>30</v>
      </c>
      <c r="N395" t="s">
        <v>21</v>
      </c>
    </row>
    <row r="396" spans="1:14" x14ac:dyDescent="0.25">
      <c r="A396" t="s">
        <v>641</v>
      </c>
      <c r="B396" s="1">
        <v>46229.766932870371</v>
      </c>
      <c r="C396" t="s">
        <v>38</v>
      </c>
      <c r="D396" t="s">
        <v>24</v>
      </c>
      <c r="E396" t="s">
        <v>58</v>
      </c>
      <c r="F396" t="s">
        <v>73</v>
      </c>
      <c r="G396">
        <v>1</v>
      </c>
      <c r="H396">
        <v>219.9</v>
      </c>
      <c r="I396">
        <v>70</v>
      </c>
      <c r="J396">
        <v>219.9</v>
      </c>
      <c r="K396">
        <v>70</v>
      </c>
      <c r="L396">
        <v>149.9</v>
      </c>
      <c r="M396" t="s">
        <v>20</v>
      </c>
      <c r="N396" t="s">
        <v>27</v>
      </c>
    </row>
    <row r="397" spans="1:14" x14ac:dyDescent="0.25">
      <c r="A397" t="s">
        <v>642</v>
      </c>
      <c r="B397" s="1">
        <v>46138.173564814817</v>
      </c>
      <c r="C397" t="s">
        <v>240</v>
      </c>
      <c r="D397" t="s">
        <v>57</v>
      </c>
      <c r="E397" t="s">
        <v>25</v>
      </c>
      <c r="F397" t="s">
        <v>26</v>
      </c>
      <c r="G397">
        <v>1</v>
      </c>
      <c r="H397">
        <v>139.9</v>
      </c>
      <c r="I397">
        <v>45</v>
      </c>
      <c r="J397">
        <v>139.9</v>
      </c>
      <c r="K397">
        <v>45</v>
      </c>
      <c r="L397">
        <v>94.9</v>
      </c>
      <c r="M397" t="s">
        <v>20</v>
      </c>
      <c r="N397" t="s">
        <v>27</v>
      </c>
    </row>
    <row r="398" spans="1:14" x14ac:dyDescent="0.25">
      <c r="A398" t="s">
        <v>643</v>
      </c>
      <c r="B398" s="1">
        <v>46223.685023148151</v>
      </c>
      <c r="C398" t="s">
        <v>644</v>
      </c>
      <c r="D398" t="s">
        <v>24</v>
      </c>
      <c r="E398" t="s">
        <v>58</v>
      </c>
      <c r="F398" t="s">
        <v>59</v>
      </c>
      <c r="G398">
        <v>1</v>
      </c>
      <c r="H398">
        <v>249.9</v>
      </c>
      <c r="I398">
        <v>80</v>
      </c>
      <c r="J398">
        <v>249.9</v>
      </c>
      <c r="K398">
        <v>80</v>
      </c>
      <c r="L398">
        <v>169.9</v>
      </c>
      <c r="M398" t="s">
        <v>30</v>
      </c>
      <c r="N398" t="s">
        <v>21</v>
      </c>
    </row>
    <row r="399" spans="1:14" x14ac:dyDescent="0.25">
      <c r="A399" t="s">
        <v>645</v>
      </c>
      <c r="B399" s="1">
        <v>46218.514166666668</v>
      </c>
      <c r="C399" t="s">
        <v>646</v>
      </c>
      <c r="D399" t="s">
        <v>24</v>
      </c>
      <c r="E399" t="s">
        <v>58</v>
      </c>
      <c r="F399" t="s">
        <v>73</v>
      </c>
      <c r="G399">
        <v>1</v>
      </c>
      <c r="H399">
        <v>219.9</v>
      </c>
      <c r="I399">
        <v>70</v>
      </c>
      <c r="J399">
        <v>219.9</v>
      </c>
      <c r="K399">
        <v>70</v>
      </c>
      <c r="L399">
        <v>149.9</v>
      </c>
      <c r="M399" t="s">
        <v>30</v>
      </c>
      <c r="N399" t="s">
        <v>27</v>
      </c>
    </row>
    <row r="400" spans="1:14" x14ac:dyDescent="0.25">
      <c r="A400" t="s">
        <v>647</v>
      </c>
      <c r="B400" s="1">
        <v>46215.631064814814</v>
      </c>
      <c r="C400" t="s">
        <v>648</v>
      </c>
      <c r="D400" t="s">
        <v>72</v>
      </c>
      <c r="E400" t="s">
        <v>25</v>
      </c>
      <c r="F400" t="s">
        <v>40</v>
      </c>
      <c r="G400">
        <v>1</v>
      </c>
      <c r="H400">
        <v>139.9</v>
      </c>
      <c r="I400">
        <v>45</v>
      </c>
      <c r="J400">
        <v>139.9</v>
      </c>
      <c r="K400">
        <v>45</v>
      </c>
      <c r="L400">
        <v>94.9</v>
      </c>
      <c r="M400" t="s">
        <v>30</v>
      </c>
      <c r="N400" t="s">
        <v>27</v>
      </c>
    </row>
    <row r="401" spans="1:14" x14ac:dyDescent="0.25">
      <c r="A401" t="s">
        <v>649</v>
      </c>
      <c r="B401" s="1">
        <v>46193.647407407407</v>
      </c>
      <c r="C401" t="s">
        <v>492</v>
      </c>
      <c r="D401" t="s">
        <v>54</v>
      </c>
      <c r="E401" t="s">
        <v>18</v>
      </c>
      <c r="F401" t="s">
        <v>19</v>
      </c>
      <c r="G401">
        <v>1</v>
      </c>
      <c r="H401">
        <v>129.9</v>
      </c>
      <c r="I401">
        <v>40</v>
      </c>
      <c r="J401">
        <v>129.9</v>
      </c>
      <c r="K401">
        <v>40</v>
      </c>
      <c r="L401">
        <v>89.9</v>
      </c>
      <c r="M401" t="s">
        <v>30</v>
      </c>
      <c r="N401" t="s">
        <v>21</v>
      </c>
    </row>
    <row r="402" spans="1:14" x14ac:dyDescent="0.25">
      <c r="A402" t="s">
        <v>650</v>
      </c>
      <c r="B402" s="1">
        <v>46178.567824074074</v>
      </c>
      <c r="C402" t="s">
        <v>651</v>
      </c>
      <c r="D402" t="s">
        <v>24</v>
      </c>
      <c r="E402" t="s">
        <v>25</v>
      </c>
      <c r="F402" t="s">
        <v>26</v>
      </c>
      <c r="G402">
        <v>3</v>
      </c>
      <c r="H402">
        <v>139.9</v>
      </c>
      <c r="I402">
        <v>45</v>
      </c>
      <c r="J402">
        <v>419.7</v>
      </c>
      <c r="K402">
        <v>135</v>
      </c>
      <c r="L402">
        <v>284.7</v>
      </c>
      <c r="M402" t="s">
        <v>30</v>
      </c>
      <c r="N402" t="s">
        <v>21</v>
      </c>
    </row>
    <row r="403" spans="1:14" x14ac:dyDescent="0.25">
      <c r="A403" t="s">
        <v>652</v>
      </c>
      <c r="B403" s="1">
        <v>46288.71947916667</v>
      </c>
      <c r="C403" t="s">
        <v>162</v>
      </c>
      <c r="D403" t="s">
        <v>72</v>
      </c>
      <c r="E403" t="s">
        <v>25</v>
      </c>
      <c r="F403" t="s">
        <v>40</v>
      </c>
      <c r="G403">
        <v>2</v>
      </c>
      <c r="H403">
        <v>139.9</v>
      </c>
      <c r="I403">
        <v>45</v>
      </c>
      <c r="J403">
        <v>279.8</v>
      </c>
      <c r="K403">
        <v>90</v>
      </c>
      <c r="L403">
        <v>189.8</v>
      </c>
      <c r="M403" t="s">
        <v>30</v>
      </c>
      <c r="N403" t="s">
        <v>27</v>
      </c>
    </row>
    <row r="404" spans="1:14" x14ac:dyDescent="0.25">
      <c r="A404" t="s">
        <v>653</v>
      </c>
      <c r="B404" s="1">
        <v>46134.141423611109</v>
      </c>
      <c r="C404" t="s">
        <v>399</v>
      </c>
      <c r="D404" t="s">
        <v>24</v>
      </c>
      <c r="E404" t="s">
        <v>25</v>
      </c>
      <c r="F404" t="s">
        <v>40</v>
      </c>
      <c r="G404">
        <v>3</v>
      </c>
      <c r="H404">
        <v>139.9</v>
      </c>
      <c r="I404">
        <v>45</v>
      </c>
      <c r="J404">
        <v>419.7</v>
      </c>
      <c r="K404">
        <v>135</v>
      </c>
      <c r="L404">
        <v>284.7</v>
      </c>
      <c r="M404" t="s">
        <v>30</v>
      </c>
      <c r="N404" t="s">
        <v>27</v>
      </c>
    </row>
    <row r="405" spans="1:14" x14ac:dyDescent="0.25">
      <c r="A405" t="s">
        <v>654</v>
      </c>
      <c r="B405" s="1">
        <v>46303.565312500003</v>
      </c>
      <c r="C405" t="s">
        <v>655</v>
      </c>
      <c r="D405" t="s">
        <v>1</v>
      </c>
      <c r="E405" t="s">
        <v>25</v>
      </c>
      <c r="F405" t="s">
        <v>26</v>
      </c>
      <c r="G405">
        <v>2</v>
      </c>
      <c r="H405">
        <v>139.9</v>
      </c>
      <c r="I405">
        <v>45</v>
      </c>
      <c r="J405">
        <v>279.8</v>
      </c>
      <c r="K405">
        <v>90</v>
      </c>
      <c r="L405">
        <v>189.8</v>
      </c>
      <c r="M405" t="s">
        <v>30</v>
      </c>
      <c r="N405" t="s">
        <v>27</v>
      </c>
    </row>
    <row r="406" spans="1:14" x14ac:dyDescent="0.25">
      <c r="A406" t="s">
        <v>656</v>
      </c>
      <c r="B406" s="1">
        <v>46255.090983796297</v>
      </c>
      <c r="C406" t="s">
        <v>46</v>
      </c>
      <c r="D406" t="s">
        <v>57</v>
      </c>
      <c r="E406" t="s">
        <v>50</v>
      </c>
      <c r="F406" t="s">
        <v>84</v>
      </c>
      <c r="G406">
        <v>3</v>
      </c>
      <c r="H406">
        <v>259.89999999999998</v>
      </c>
      <c r="I406">
        <v>82</v>
      </c>
      <c r="J406">
        <v>779.7</v>
      </c>
      <c r="K406">
        <v>246</v>
      </c>
      <c r="L406">
        <v>533.70000000000005</v>
      </c>
      <c r="M406" t="s">
        <v>30</v>
      </c>
      <c r="N406" t="s">
        <v>27</v>
      </c>
    </row>
    <row r="407" spans="1:14" x14ac:dyDescent="0.25">
      <c r="A407" t="s">
        <v>657</v>
      </c>
      <c r="B407" s="1">
        <v>46256.500081018516</v>
      </c>
      <c r="C407" t="s">
        <v>217</v>
      </c>
      <c r="D407" t="s">
        <v>24</v>
      </c>
      <c r="E407" t="s">
        <v>58</v>
      </c>
      <c r="F407" t="s">
        <v>59</v>
      </c>
      <c r="G407">
        <v>4</v>
      </c>
      <c r="H407">
        <v>249.9</v>
      </c>
      <c r="I407">
        <v>80</v>
      </c>
      <c r="J407">
        <v>999.6</v>
      </c>
      <c r="K407">
        <v>320</v>
      </c>
      <c r="L407">
        <v>679.6</v>
      </c>
      <c r="M407" t="s">
        <v>30</v>
      </c>
      <c r="N407" t="s">
        <v>27</v>
      </c>
    </row>
    <row r="408" spans="1:14" x14ac:dyDescent="0.25">
      <c r="A408" t="s">
        <v>658</v>
      </c>
      <c r="B408" s="1">
        <v>46218.536412037036</v>
      </c>
      <c r="C408" t="s">
        <v>529</v>
      </c>
      <c r="D408" t="s">
        <v>24</v>
      </c>
      <c r="E408" t="s">
        <v>50</v>
      </c>
      <c r="F408" t="s">
        <v>84</v>
      </c>
      <c r="G408">
        <v>1</v>
      </c>
      <c r="H408">
        <v>259.89999999999998</v>
      </c>
      <c r="I408">
        <v>82</v>
      </c>
      <c r="J408">
        <v>259.89999999999998</v>
      </c>
      <c r="K408">
        <v>82</v>
      </c>
      <c r="L408">
        <v>177.9</v>
      </c>
      <c r="M408" t="s">
        <v>43</v>
      </c>
      <c r="N408" t="s">
        <v>67</v>
      </c>
    </row>
    <row r="409" spans="1:14" x14ac:dyDescent="0.25">
      <c r="A409" t="s">
        <v>659</v>
      </c>
      <c r="B409" s="1">
        <v>46305.641608796293</v>
      </c>
      <c r="C409" t="s">
        <v>520</v>
      </c>
      <c r="D409" t="s">
        <v>24</v>
      </c>
      <c r="E409" t="s">
        <v>25</v>
      </c>
      <c r="F409" t="s">
        <v>40</v>
      </c>
      <c r="G409">
        <v>1</v>
      </c>
      <c r="H409">
        <v>139.9</v>
      </c>
      <c r="I409">
        <v>45</v>
      </c>
      <c r="J409">
        <v>139.9</v>
      </c>
      <c r="K409">
        <v>45</v>
      </c>
      <c r="L409">
        <v>94.9</v>
      </c>
      <c r="M409" t="s">
        <v>30</v>
      </c>
      <c r="N409" t="s">
        <v>21</v>
      </c>
    </row>
    <row r="410" spans="1:14" x14ac:dyDescent="0.25">
      <c r="A410" t="s">
        <v>660</v>
      </c>
      <c r="B410" s="1">
        <v>46186.910833333335</v>
      </c>
      <c r="C410" t="s">
        <v>503</v>
      </c>
      <c r="D410" t="s">
        <v>76</v>
      </c>
      <c r="E410" t="s">
        <v>50</v>
      </c>
      <c r="F410" t="s">
        <v>51</v>
      </c>
      <c r="G410">
        <v>1</v>
      </c>
      <c r="H410">
        <v>319.89999999999998</v>
      </c>
      <c r="I410">
        <v>105</v>
      </c>
      <c r="J410">
        <v>319.89999999999998</v>
      </c>
      <c r="K410">
        <v>105</v>
      </c>
      <c r="L410">
        <v>214.9</v>
      </c>
      <c r="M410" t="s">
        <v>30</v>
      </c>
      <c r="N410" t="s">
        <v>27</v>
      </c>
    </row>
    <row r="411" spans="1:14" x14ac:dyDescent="0.25">
      <c r="A411" t="s">
        <v>661</v>
      </c>
      <c r="B411" s="1">
        <v>46139.876712962963</v>
      </c>
      <c r="C411" t="s">
        <v>128</v>
      </c>
      <c r="D411" t="s">
        <v>72</v>
      </c>
      <c r="E411" t="s">
        <v>25</v>
      </c>
      <c r="F411" t="s">
        <v>26</v>
      </c>
      <c r="G411">
        <v>2</v>
      </c>
      <c r="H411">
        <v>139.9</v>
      </c>
      <c r="I411">
        <v>45</v>
      </c>
      <c r="J411">
        <v>279.8</v>
      </c>
      <c r="K411">
        <v>90</v>
      </c>
      <c r="L411">
        <v>189.8</v>
      </c>
      <c r="M411" t="s">
        <v>20</v>
      </c>
      <c r="N411" t="s">
        <v>21</v>
      </c>
    </row>
    <row r="412" spans="1:14" x14ac:dyDescent="0.25">
      <c r="A412" t="s">
        <v>662</v>
      </c>
      <c r="B412" s="1">
        <v>46152.99628472222</v>
      </c>
      <c r="C412" t="s">
        <v>663</v>
      </c>
      <c r="D412" t="s">
        <v>1</v>
      </c>
      <c r="E412" t="s">
        <v>50</v>
      </c>
      <c r="F412" t="s">
        <v>77</v>
      </c>
      <c r="G412">
        <v>1</v>
      </c>
      <c r="H412">
        <v>289.89999999999998</v>
      </c>
      <c r="I412">
        <v>95</v>
      </c>
      <c r="J412">
        <v>289.89999999999998</v>
      </c>
      <c r="K412">
        <v>95</v>
      </c>
      <c r="L412">
        <v>194.9</v>
      </c>
      <c r="M412" t="s">
        <v>43</v>
      </c>
      <c r="N412" t="s">
        <v>44</v>
      </c>
    </row>
    <row r="413" spans="1:14" x14ac:dyDescent="0.25">
      <c r="A413" t="s">
        <v>664</v>
      </c>
      <c r="B413" s="1">
        <v>46140.531134259261</v>
      </c>
      <c r="C413" t="s">
        <v>633</v>
      </c>
      <c r="D413" t="s">
        <v>54</v>
      </c>
      <c r="E413" t="s">
        <v>50</v>
      </c>
      <c r="F413" t="s">
        <v>84</v>
      </c>
      <c r="G413">
        <v>1</v>
      </c>
      <c r="H413">
        <v>259.89999999999998</v>
      </c>
      <c r="I413">
        <v>82</v>
      </c>
      <c r="J413">
        <v>259.89999999999998</v>
      </c>
      <c r="K413">
        <v>82</v>
      </c>
      <c r="L413">
        <v>177.9</v>
      </c>
      <c r="M413" t="s">
        <v>20</v>
      </c>
      <c r="N413" t="s">
        <v>27</v>
      </c>
    </row>
    <row r="414" spans="1:14" x14ac:dyDescent="0.25">
      <c r="A414" t="s">
        <v>665</v>
      </c>
      <c r="B414" s="1">
        <v>46207.17428240741</v>
      </c>
      <c r="C414" t="s">
        <v>132</v>
      </c>
      <c r="D414" t="s">
        <v>24</v>
      </c>
      <c r="E414" t="s">
        <v>50</v>
      </c>
      <c r="F414" t="s">
        <v>51</v>
      </c>
      <c r="G414">
        <v>2</v>
      </c>
      <c r="H414">
        <v>319.89999999999998</v>
      </c>
      <c r="I414">
        <v>105</v>
      </c>
      <c r="J414">
        <v>639.79999999999995</v>
      </c>
      <c r="K414">
        <v>210</v>
      </c>
      <c r="L414">
        <v>429.8</v>
      </c>
      <c r="M414" t="s">
        <v>30</v>
      </c>
      <c r="N414" t="s">
        <v>21</v>
      </c>
    </row>
    <row r="415" spans="1:14" x14ac:dyDescent="0.25">
      <c r="A415" t="s">
        <v>666</v>
      </c>
      <c r="B415" s="1">
        <v>46259.343090277776</v>
      </c>
      <c r="C415" t="s">
        <v>64</v>
      </c>
      <c r="D415" t="s">
        <v>39</v>
      </c>
      <c r="E415" t="s">
        <v>25</v>
      </c>
      <c r="F415" t="s">
        <v>33</v>
      </c>
      <c r="G415">
        <v>1</v>
      </c>
      <c r="H415">
        <v>169.9</v>
      </c>
      <c r="I415">
        <v>55</v>
      </c>
      <c r="J415">
        <v>169.9</v>
      </c>
      <c r="K415">
        <v>55</v>
      </c>
      <c r="L415">
        <v>114.9</v>
      </c>
      <c r="M415" t="s">
        <v>30</v>
      </c>
      <c r="N415" t="s">
        <v>27</v>
      </c>
    </row>
    <row r="416" spans="1:14" x14ac:dyDescent="0.25">
      <c r="A416" t="s">
        <v>667</v>
      </c>
      <c r="B416" s="1">
        <v>46256.943171296298</v>
      </c>
      <c r="C416" t="s">
        <v>403</v>
      </c>
      <c r="D416" t="s">
        <v>72</v>
      </c>
      <c r="E416" t="s">
        <v>50</v>
      </c>
      <c r="F416" t="s">
        <v>84</v>
      </c>
      <c r="G416">
        <v>1</v>
      </c>
      <c r="H416">
        <v>259.89999999999998</v>
      </c>
      <c r="I416">
        <v>82</v>
      </c>
      <c r="J416">
        <v>259.89999999999998</v>
      </c>
      <c r="K416">
        <v>82</v>
      </c>
      <c r="L416">
        <v>177.9</v>
      </c>
      <c r="M416" t="s">
        <v>20</v>
      </c>
      <c r="N416" t="s">
        <v>27</v>
      </c>
    </row>
    <row r="417" spans="1:14" x14ac:dyDescent="0.25">
      <c r="A417" t="s">
        <v>668</v>
      </c>
      <c r="B417" s="1">
        <v>46277.844583333332</v>
      </c>
      <c r="C417" t="s">
        <v>17</v>
      </c>
      <c r="D417" t="s">
        <v>76</v>
      </c>
      <c r="E417" t="s">
        <v>25</v>
      </c>
      <c r="F417" t="s">
        <v>47</v>
      </c>
      <c r="G417">
        <v>1</v>
      </c>
      <c r="H417">
        <v>159.9</v>
      </c>
      <c r="I417">
        <v>52</v>
      </c>
      <c r="J417">
        <v>159.9</v>
      </c>
      <c r="K417">
        <v>52</v>
      </c>
      <c r="L417">
        <v>107.9</v>
      </c>
      <c r="M417" t="s">
        <v>43</v>
      </c>
      <c r="N417" t="s">
        <v>44</v>
      </c>
    </row>
    <row r="418" spans="1:14" x14ac:dyDescent="0.25">
      <c r="A418" t="s">
        <v>669</v>
      </c>
      <c r="B418" s="1">
        <v>46120.273692129631</v>
      </c>
      <c r="C418" t="s">
        <v>362</v>
      </c>
      <c r="D418" t="s">
        <v>24</v>
      </c>
      <c r="E418" t="s">
        <v>25</v>
      </c>
      <c r="F418" t="s">
        <v>47</v>
      </c>
      <c r="G418">
        <v>1</v>
      </c>
      <c r="H418">
        <v>159.9</v>
      </c>
      <c r="I418">
        <v>52</v>
      </c>
      <c r="J418">
        <v>159.9</v>
      </c>
      <c r="K418">
        <v>52</v>
      </c>
      <c r="L418">
        <v>107.9</v>
      </c>
      <c r="M418" t="s">
        <v>43</v>
      </c>
      <c r="N418" t="s">
        <v>27</v>
      </c>
    </row>
    <row r="419" spans="1:14" x14ac:dyDescent="0.25">
      <c r="A419" t="s">
        <v>670</v>
      </c>
      <c r="B419" s="1">
        <v>46199.532511574071</v>
      </c>
      <c r="C419" t="s">
        <v>358</v>
      </c>
      <c r="D419" t="s">
        <v>1</v>
      </c>
      <c r="E419" t="s">
        <v>25</v>
      </c>
      <c r="F419" t="s">
        <v>26</v>
      </c>
      <c r="G419">
        <v>2</v>
      </c>
      <c r="H419">
        <v>139.9</v>
      </c>
      <c r="I419">
        <v>45</v>
      </c>
      <c r="J419">
        <v>279.8</v>
      </c>
      <c r="K419">
        <v>90</v>
      </c>
      <c r="L419">
        <v>189.8</v>
      </c>
      <c r="M419" t="s">
        <v>20</v>
      </c>
      <c r="N419" t="s">
        <v>27</v>
      </c>
    </row>
    <row r="420" spans="1:14" x14ac:dyDescent="0.25">
      <c r="A420" t="s">
        <v>671</v>
      </c>
      <c r="B420" s="1">
        <v>46149.859120370369</v>
      </c>
      <c r="C420" t="s">
        <v>275</v>
      </c>
      <c r="D420" t="s">
        <v>39</v>
      </c>
      <c r="E420" t="s">
        <v>18</v>
      </c>
      <c r="F420" t="s">
        <v>222</v>
      </c>
      <c r="G420">
        <v>1</v>
      </c>
      <c r="H420">
        <v>79.900000000000006</v>
      </c>
      <c r="I420">
        <v>22</v>
      </c>
      <c r="J420">
        <v>79.900000000000006</v>
      </c>
      <c r="K420">
        <v>22</v>
      </c>
      <c r="L420">
        <v>57.9</v>
      </c>
      <c r="M420" t="s">
        <v>20</v>
      </c>
      <c r="N420" t="s">
        <v>27</v>
      </c>
    </row>
    <row r="421" spans="1:14" x14ac:dyDescent="0.25">
      <c r="A421" t="s">
        <v>672</v>
      </c>
      <c r="B421" s="1">
        <v>46130.215219907404</v>
      </c>
      <c r="C421" t="s">
        <v>673</v>
      </c>
      <c r="D421" t="s">
        <v>39</v>
      </c>
      <c r="E421" t="s">
        <v>50</v>
      </c>
      <c r="F421" t="s">
        <v>84</v>
      </c>
      <c r="G421">
        <v>1</v>
      </c>
      <c r="H421">
        <v>259.89999999999998</v>
      </c>
      <c r="I421">
        <v>82</v>
      </c>
      <c r="J421">
        <v>259.89999999999998</v>
      </c>
      <c r="K421">
        <v>82</v>
      </c>
      <c r="L421">
        <v>177.9</v>
      </c>
      <c r="M421" t="s">
        <v>20</v>
      </c>
      <c r="N421" t="s">
        <v>27</v>
      </c>
    </row>
    <row r="422" spans="1:14" x14ac:dyDescent="0.25">
      <c r="A422" t="s">
        <v>674</v>
      </c>
      <c r="B422" s="1">
        <v>46120.139189814814</v>
      </c>
      <c r="C422" t="s">
        <v>201</v>
      </c>
      <c r="D422" t="s">
        <v>62</v>
      </c>
      <c r="E422" t="s">
        <v>50</v>
      </c>
      <c r="F422" t="s">
        <v>84</v>
      </c>
      <c r="G422">
        <v>1</v>
      </c>
      <c r="H422">
        <v>259.89999999999998</v>
      </c>
      <c r="I422">
        <v>82</v>
      </c>
      <c r="J422">
        <v>259.89999999999998</v>
      </c>
      <c r="K422">
        <v>82</v>
      </c>
      <c r="L422">
        <v>177.9</v>
      </c>
      <c r="M422" t="s">
        <v>20</v>
      </c>
      <c r="N422" t="s">
        <v>27</v>
      </c>
    </row>
    <row r="423" spans="1:14" x14ac:dyDescent="0.25">
      <c r="A423" t="s">
        <v>675</v>
      </c>
      <c r="B423" s="1">
        <v>46168.570694444446</v>
      </c>
      <c r="C423" t="s">
        <v>213</v>
      </c>
      <c r="D423" t="s">
        <v>24</v>
      </c>
      <c r="E423" t="s">
        <v>58</v>
      </c>
      <c r="F423" t="s">
        <v>73</v>
      </c>
      <c r="G423">
        <v>3</v>
      </c>
      <c r="H423">
        <v>219.9</v>
      </c>
      <c r="I423">
        <v>70</v>
      </c>
      <c r="J423">
        <v>659.7</v>
      </c>
      <c r="K423">
        <v>210</v>
      </c>
      <c r="L423">
        <v>449.7</v>
      </c>
      <c r="M423" t="s">
        <v>30</v>
      </c>
      <c r="N423" t="s">
        <v>67</v>
      </c>
    </row>
    <row r="424" spans="1:14" x14ac:dyDescent="0.25">
      <c r="A424" t="s">
        <v>676</v>
      </c>
      <c r="B424" s="1">
        <v>46200.23878472222</v>
      </c>
      <c r="C424" t="s">
        <v>86</v>
      </c>
      <c r="D424" t="s">
        <v>24</v>
      </c>
      <c r="E424" t="s">
        <v>25</v>
      </c>
      <c r="F424" t="s">
        <v>47</v>
      </c>
      <c r="G424">
        <v>1</v>
      </c>
      <c r="H424">
        <v>159.9</v>
      </c>
      <c r="I424">
        <v>52</v>
      </c>
      <c r="J424">
        <v>159.9</v>
      </c>
      <c r="K424">
        <v>52</v>
      </c>
      <c r="L424">
        <v>107.9</v>
      </c>
      <c r="M424" t="s">
        <v>43</v>
      </c>
      <c r="N424" t="s">
        <v>67</v>
      </c>
    </row>
    <row r="425" spans="1:14" x14ac:dyDescent="0.25">
      <c r="A425" t="s">
        <v>677</v>
      </c>
      <c r="B425" s="1">
        <v>46297.492094907408</v>
      </c>
      <c r="C425" t="s">
        <v>618</v>
      </c>
      <c r="D425" t="s">
        <v>24</v>
      </c>
      <c r="E425" t="s">
        <v>25</v>
      </c>
      <c r="F425" t="s">
        <v>40</v>
      </c>
      <c r="G425">
        <v>1</v>
      </c>
      <c r="H425">
        <v>139.9</v>
      </c>
      <c r="I425">
        <v>45</v>
      </c>
      <c r="J425">
        <v>139.9</v>
      </c>
      <c r="K425">
        <v>45</v>
      </c>
      <c r="L425">
        <v>94.9</v>
      </c>
      <c r="M425" t="s">
        <v>30</v>
      </c>
      <c r="N425" t="s">
        <v>27</v>
      </c>
    </row>
    <row r="426" spans="1:14" x14ac:dyDescent="0.25">
      <c r="A426" t="s">
        <v>678</v>
      </c>
      <c r="B426" s="1">
        <v>46126.236018518517</v>
      </c>
      <c r="C426" t="s">
        <v>205</v>
      </c>
      <c r="D426" t="s">
        <v>39</v>
      </c>
      <c r="E426" t="s">
        <v>50</v>
      </c>
      <c r="F426" t="s">
        <v>84</v>
      </c>
      <c r="G426">
        <v>3</v>
      </c>
      <c r="H426">
        <v>259.89999999999998</v>
      </c>
      <c r="I426">
        <v>82</v>
      </c>
      <c r="J426">
        <v>779.7</v>
      </c>
      <c r="K426">
        <v>246</v>
      </c>
      <c r="L426">
        <v>533.70000000000005</v>
      </c>
      <c r="M426" t="s">
        <v>30</v>
      </c>
      <c r="N426" t="s">
        <v>67</v>
      </c>
    </row>
    <row r="427" spans="1:14" x14ac:dyDescent="0.25">
      <c r="A427" t="s">
        <v>679</v>
      </c>
      <c r="B427" s="1">
        <v>46125.123761574076</v>
      </c>
      <c r="C427" t="s">
        <v>362</v>
      </c>
      <c r="D427" t="s">
        <v>54</v>
      </c>
      <c r="E427" t="s">
        <v>50</v>
      </c>
      <c r="F427" t="s">
        <v>51</v>
      </c>
      <c r="G427">
        <v>1</v>
      </c>
      <c r="H427">
        <v>319.89999999999998</v>
      </c>
      <c r="I427">
        <v>105</v>
      </c>
      <c r="J427">
        <v>319.89999999999998</v>
      </c>
      <c r="K427">
        <v>105</v>
      </c>
      <c r="L427">
        <v>214.9</v>
      </c>
      <c r="M427" t="s">
        <v>43</v>
      </c>
      <c r="N427" t="s">
        <v>27</v>
      </c>
    </row>
    <row r="428" spans="1:14" x14ac:dyDescent="0.25">
      <c r="A428" t="s">
        <v>680</v>
      </c>
      <c r="B428" s="1">
        <v>46282.643240740741</v>
      </c>
      <c r="C428" t="s">
        <v>339</v>
      </c>
      <c r="D428" t="s">
        <v>24</v>
      </c>
      <c r="E428" t="s">
        <v>25</v>
      </c>
      <c r="F428" t="s">
        <v>33</v>
      </c>
      <c r="G428">
        <v>1</v>
      </c>
      <c r="H428">
        <v>169.9</v>
      </c>
      <c r="I428">
        <v>55</v>
      </c>
      <c r="J428">
        <v>169.9</v>
      </c>
      <c r="K428">
        <v>55</v>
      </c>
      <c r="L428">
        <v>114.9</v>
      </c>
      <c r="M428" t="s">
        <v>20</v>
      </c>
      <c r="N428" t="s">
        <v>27</v>
      </c>
    </row>
    <row r="429" spans="1:14" x14ac:dyDescent="0.25">
      <c r="A429" t="s">
        <v>681</v>
      </c>
      <c r="B429" s="1">
        <v>46219.414398148147</v>
      </c>
      <c r="C429" t="s">
        <v>608</v>
      </c>
      <c r="D429" t="s">
        <v>62</v>
      </c>
      <c r="E429" t="s">
        <v>25</v>
      </c>
      <c r="F429" t="s">
        <v>40</v>
      </c>
      <c r="G429">
        <v>2</v>
      </c>
      <c r="H429">
        <v>139.9</v>
      </c>
      <c r="I429">
        <v>45</v>
      </c>
      <c r="J429">
        <v>279.8</v>
      </c>
      <c r="K429">
        <v>90</v>
      </c>
      <c r="L429">
        <v>189.8</v>
      </c>
      <c r="M429" t="s">
        <v>30</v>
      </c>
      <c r="N429" t="s">
        <v>27</v>
      </c>
    </row>
    <row r="430" spans="1:14" x14ac:dyDescent="0.25">
      <c r="A430" t="s">
        <v>682</v>
      </c>
      <c r="B430" s="1">
        <v>46201.652187500003</v>
      </c>
      <c r="C430" t="s">
        <v>250</v>
      </c>
      <c r="D430" t="s">
        <v>39</v>
      </c>
      <c r="E430" t="s">
        <v>50</v>
      </c>
      <c r="F430" t="s">
        <v>51</v>
      </c>
      <c r="G430">
        <v>2</v>
      </c>
      <c r="H430">
        <v>319.89999999999998</v>
      </c>
      <c r="I430">
        <v>105</v>
      </c>
      <c r="J430">
        <v>639.79999999999995</v>
      </c>
      <c r="K430">
        <v>210</v>
      </c>
      <c r="L430">
        <v>429.8</v>
      </c>
      <c r="M430" t="s">
        <v>30</v>
      </c>
      <c r="N430" t="s">
        <v>27</v>
      </c>
    </row>
    <row r="431" spans="1:14" x14ac:dyDescent="0.25">
      <c r="A431" t="s">
        <v>683</v>
      </c>
      <c r="B431" s="1">
        <v>46286.89980324074</v>
      </c>
      <c r="C431" t="s">
        <v>339</v>
      </c>
      <c r="D431" t="s">
        <v>39</v>
      </c>
      <c r="E431" t="s">
        <v>50</v>
      </c>
      <c r="F431" t="s">
        <v>84</v>
      </c>
      <c r="G431">
        <v>1</v>
      </c>
      <c r="H431">
        <v>259.89999999999998</v>
      </c>
      <c r="I431">
        <v>82</v>
      </c>
      <c r="J431">
        <v>259.89999999999998</v>
      </c>
      <c r="K431">
        <v>82</v>
      </c>
      <c r="L431">
        <v>177.9</v>
      </c>
      <c r="M431" t="s">
        <v>30</v>
      </c>
      <c r="N431" t="s">
        <v>27</v>
      </c>
    </row>
    <row r="432" spans="1:14" x14ac:dyDescent="0.25">
      <c r="A432" t="s">
        <v>684</v>
      </c>
      <c r="B432" s="1">
        <v>46283.467881944445</v>
      </c>
      <c r="C432" t="s">
        <v>523</v>
      </c>
      <c r="D432" t="s">
        <v>24</v>
      </c>
      <c r="E432" t="s">
        <v>25</v>
      </c>
      <c r="F432" t="s">
        <v>26</v>
      </c>
      <c r="G432">
        <v>2</v>
      </c>
      <c r="H432">
        <v>139.9</v>
      </c>
      <c r="I432">
        <v>45</v>
      </c>
      <c r="J432">
        <v>279.8</v>
      </c>
      <c r="K432">
        <v>90</v>
      </c>
      <c r="L432">
        <v>189.8</v>
      </c>
      <c r="M432" t="s">
        <v>20</v>
      </c>
      <c r="N432" t="s">
        <v>21</v>
      </c>
    </row>
    <row r="433" spans="1:14" x14ac:dyDescent="0.25">
      <c r="A433" t="s">
        <v>685</v>
      </c>
      <c r="B433" s="1">
        <v>46214.909189814818</v>
      </c>
      <c r="C433" t="s">
        <v>686</v>
      </c>
      <c r="D433" t="s">
        <v>24</v>
      </c>
      <c r="E433" t="s">
        <v>25</v>
      </c>
      <c r="F433" t="s">
        <v>40</v>
      </c>
      <c r="G433">
        <v>1</v>
      </c>
      <c r="H433">
        <v>139.9</v>
      </c>
      <c r="I433">
        <v>45</v>
      </c>
      <c r="J433">
        <v>139.9</v>
      </c>
      <c r="K433">
        <v>45</v>
      </c>
      <c r="L433">
        <v>94.9</v>
      </c>
      <c r="M433" t="s">
        <v>30</v>
      </c>
      <c r="N433" t="s">
        <v>27</v>
      </c>
    </row>
    <row r="434" spans="1:14" x14ac:dyDescent="0.25">
      <c r="A434" t="s">
        <v>687</v>
      </c>
      <c r="B434" s="1">
        <v>46165.457256944443</v>
      </c>
      <c r="C434" t="s">
        <v>145</v>
      </c>
      <c r="D434" t="s">
        <v>54</v>
      </c>
      <c r="E434" t="s">
        <v>50</v>
      </c>
      <c r="F434" t="s">
        <v>77</v>
      </c>
      <c r="G434">
        <v>1</v>
      </c>
      <c r="H434">
        <v>289.89999999999998</v>
      </c>
      <c r="I434">
        <v>95</v>
      </c>
      <c r="J434">
        <v>289.89999999999998</v>
      </c>
      <c r="K434">
        <v>95</v>
      </c>
      <c r="L434">
        <v>194.9</v>
      </c>
      <c r="M434" t="s">
        <v>20</v>
      </c>
      <c r="N434" t="s">
        <v>27</v>
      </c>
    </row>
    <row r="435" spans="1:14" x14ac:dyDescent="0.25">
      <c r="A435" t="s">
        <v>688</v>
      </c>
      <c r="B435" s="1">
        <v>46309.208182870374</v>
      </c>
      <c r="C435" t="s">
        <v>132</v>
      </c>
      <c r="D435" t="s">
        <v>165</v>
      </c>
      <c r="E435" t="s">
        <v>50</v>
      </c>
      <c r="F435" t="s">
        <v>51</v>
      </c>
      <c r="G435">
        <v>1</v>
      </c>
      <c r="H435">
        <v>319.89999999999998</v>
      </c>
      <c r="I435">
        <v>105</v>
      </c>
      <c r="J435">
        <v>319.89999999999998</v>
      </c>
      <c r="K435">
        <v>105</v>
      </c>
      <c r="L435">
        <v>214.9</v>
      </c>
      <c r="M435" t="s">
        <v>20</v>
      </c>
      <c r="N435" t="s">
        <v>27</v>
      </c>
    </row>
    <row r="436" spans="1:14" x14ac:dyDescent="0.25">
      <c r="A436" t="s">
        <v>689</v>
      </c>
      <c r="B436" s="1">
        <v>46187.497766203705</v>
      </c>
      <c r="C436" t="s">
        <v>155</v>
      </c>
      <c r="D436" t="s">
        <v>54</v>
      </c>
      <c r="E436" t="s">
        <v>25</v>
      </c>
      <c r="F436" t="s">
        <v>40</v>
      </c>
      <c r="G436">
        <v>1</v>
      </c>
      <c r="H436">
        <v>139.9</v>
      </c>
      <c r="I436">
        <v>45</v>
      </c>
      <c r="J436">
        <v>139.9</v>
      </c>
      <c r="K436">
        <v>45</v>
      </c>
      <c r="L436">
        <v>94.9</v>
      </c>
      <c r="M436" t="s">
        <v>20</v>
      </c>
      <c r="N436" t="s">
        <v>21</v>
      </c>
    </row>
    <row r="437" spans="1:14" x14ac:dyDescent="0.25">
      <c r="A437" t="s">
        <v>690</v>
      </c>
      <c r="B437" s="1">
        <v>46240.653310185182</v>
      </c>
      <c r="C437" t="s">
        <v>691</v>
      </c>
      <c r="D437" t="s">
        <v>76</v>
      </c>
      <c r="E437" t="s">
        <v>25</v>
      </c>
      <c r="F437" t="s">
        <v>26</v>
      </c>
      <c r="G437">
        <v>1</v>
      </c>
      <c r="H437">
        <v>139.9</v>
      </c>
      <c r="I437">
        <v>45</v>
      </c>
      <c r="J437">
        <v>139.9</v>
      </c>
      <c r="K437">
        <v>45</v>
      </c>
      <c r="L437">
        <v>94.9</v>
      </c>
      <c r="M437" t="s">
        <v>20</v>
      </c>
      <c r="N437" t="s">
        <v>27</v>
      </c>
    </row>
    <row r="438" spans="1:14" x14ac:dyDescent="0.25">
      <c r="A438" t="s">
        <v>692</v>
      </c>
      <c r="B438" s="1">
        <v>46210.807939814818</v>
      </c>
      <c r="C438" t="s">
        <v>75</v>
      </c>
      <c r="D438" t="s">
        <v>24</v>
      </c>
      <c r="E438" t="s">
        <v>25</v>
      </c>
      <c r="F438" t="s">
        <v>26</v>
      </c>
      <c r="G438">
        <v>1</v>
      </c>
      <c r="H438">
        <v>139.9</v>
      </c>
      <c r="I438">
        <v>45</v>
      </c>
      <c r="J438">
        <v>139.9</v>
      </c>
      <c r="K438">
        <v>45</v>
      </c>
      <c r="L438">
        <v>94.9</v>
      </c>
      <c r="M438" t="s">
        <v>30</v>
      </c>
      <c r="N438" t="s">
        <v>27</v>
      </c>
    </row>
    <row r="439" spans="1:14" x14ac:dyDescent="0.25">
      <c r="A439" t="s">
        <v>693</v>
      </c>
      <c r="B439" s="1">
        <v>46241.847604166665</v>
      </c>
      <c r="C439" t="s">
        <v>566</v>
      </c>
      <c r="D439" t="s">
        <v>62</v>
      </c>
      <c r="E439" t="s">
        <v>58</v>
      </c>
      <c r="F439" t="s">
        <v>95</v>
      </c>
      <c r="G439">
        <v>2</v>
      </c>
      <c r="H439">
        <v>279.89999999999998</v>
      </c>
      <c r="I439">
        <v>90</v>
      </c>
      <c r="J439">
        <v>559.79999999999995</v>
      </c>
      <c r="K439">
        <v>180</v>
      </c>
      <c r="L439">
        <v>379.8</v>
      </c>
      <c r="M439" t="s">
        <v>20</v>
      </c>
      <c r="N439" t="s">
        <v>27</v>
      </c>
    </row>
    <row r="440" spans="1:14" x14ac:dyDescent="0.25">
      <c r="A440" t="s">
        <v>694</v>
      </c>
      <c r="B440" s="1">
        <v>46203.109340277777</v>
      </c>
      <c r="C440" t="s">
        <v>563</v>
      </c>
      <c r="D440" t="s">
        <v>24</v>
      </c>
      <c r="E440" t="s">
        <v>18</v>
      </c>
      <c r="F440" t="s">
        <v>19</v>
      </c>
      <c r="G440">
        <v>2</v>
      </c>
      <c r="H440">
        <v>129.9</v>
      </c>
      <c r="I440">
        <v>40</v>
      </c>
      <c r="J440">
        <v>259.8</v>
      </c>
      <c r="K440">
        <v>80</v>
      </c>
      <c r="L440">
        <v>179.8</v>
      </c>
      <c r="M440" t="s">
        <v>20</v>
      </c>
      <c r="N440" t="s">
        <v>21</v>
      </c>
    </row>
    <row r="441" spans="1:14" x14ac:dyDescent="0.25">
      <c r="A441" t="s">
        <v>695</v>
      </c>
      <c r="B441" s="1">
        <v>46123.661759259259</v>
      </c>
      <c r="C441" t="s">
        <v>624</v>
      </c>
      <c r="D441" t="s">
        <v>1</v>
      </c>
      <c r="E441" t="s">
        <v>50</v>
      </c>
      <c r="F441" t="s">
        <v>51</v>
      </c>
      <c r="G441">
        <v>2</v>
      </c>
      <c r="H441">
        <v>319.89999999999998</v>
      </c>
      <c r="I441">
        <v>105</v>
      </c>
      <c r="J441">
        <v>639.79999999999995</v>
      </c>
      <c r="K441">
        <v>210</v>
      </c>
      <c r="L441">
        <v>429.8</v>
      </c>
      <c r="M441" t="s">
        <v>20</v>
      </c>
      <c r="N441" t="s">
        <v>27</v>
      </c>
    </row>
    <row r="442" spans="1:14" x14ac:dyDescent="0.25">
      <c r="A442" t="s">
        <v>696</v>
      </c>
      <c r="B442" s="1">
        <v>46132.474918981483</v>
      </c>
      <c r="C442" t="s">
        <v>169</v>
      </c>
      <c r="D442" t="s">
        <v>165</v>
      </c>
      <c r="E442" t="s">
        <v>25</v>
      </c>
      <c r="F442" t="s">
        <v>33</v>
      </c>
      <c r="G442">
        <v>1</v>
      </c>
      <c r="H442">
        <v>169.9</v>
      </c>
      <c r="I442">
        <v>55</v>
      </c>
      <c r="J442">
        <v>169.9</v>
      </c>
      <c r="K442">
        <v>55</v>
      </c>
      <c r="L442">
        <v>114.9</v>
      </c>
      <c r="M442" t="s">
        <v>30</v>
      </c>
      <c r="N442" t="s">
        <v>27</v>
      </c>
    </row>
    <row r="443" spans="1:14" x14ac:dyDescent="0.25">
      <c r="A443" t="s">
        <v>697</v>
      </c>
      <c r="B443" s="1">
        <v>46259.613518518519</v>
      </c>
      <c r="C443" t="s">
        <v>160</v>
      </c>
      <c r="D443" t="s">
        <v>62</v>
      </c>
      <c r="E443" t="s">
        <v>25</v>
      </c>
      <c r="F443" t="s">
        <v>33</v>
      </c>
      <c r="G443">
        <v>2</v>
      </c>
      <c r="H443">
        <v>169.9</v>
      </c>
      <c r="I443">
        <v>55</v>
      </c>
      <c r="J443">
        <v>339.8</v>
      </c>
      <c r="K443">
        <v>110</v>
      </c>
      <c r="L443">
        <v>229.8</v>
      </c>
      <c r="M443" t="s">
        <v>30</v>
      </c>
      <c r="N443" t="s">
        <v>27</v>
      </c>
    </row>
    <row r="444" spans="1:14" x14ac:dyDescent="0.25">
      <c r="A444" t="s">
        <v>698</v>
      </c>
      <c r="B444" s="1">
        <v>46187.174722222226</v>
      </c>
      <c r="C444" t="s">
        <v>699</v>
      </c>
      <c r="D444" t="s">
        <v>72</v>
      </c>
      <c r="E444" t="s">
        <v>58</v>
      </c>
      <c r="F444" t="s">
        <v>59</v>
      </c>
      <c r="G444">
        <v>1</v>
      </c>
      <c r="H444">
        <v>249.9</v>
      </c>
      <c r="I444">
        <v>80</v>
      </c>
      <c r="J444">
        <v>249.9</v>
      </c>
      <c r="K444">
        <v>80</v>
      </c>
      <c r="L444">
        <v>169.9</v>
      </c>
      <c r="M444" t="s">
        <v>43</v>
      </c>
      <c r="N444" t="s">
        <v>67</v>
      </c>
    </row>
    <row r="445" spans="1:14" x14ac:dyDescent="0.25">
      <c r="A445" t="s">
        <v>700</v>
      </c>
      <c r="B445" s="1">
        <v>46196.260729166665</v>
      </c>
      <c r="C445" t="s">
        <v>267</v>
      </c>
      <c r="D445" t="s">
        <v>24</v>
      </c>
      <c r="E445" t="s">
        <v>58</v>
      </c>
      <c r="F445" t="s">
        <v>95</v>
      </c>
      <c r="G445">
        <v>1</v>
      </c>
      <c r="H445">
        <v>279.89999999999998</v>
      </c>
      <c r="I445">
        <v>90</v>
      </c>
      <c r="J445">
        <v>279.89999999999998</v>
      </c>
      <c r="K445">
        <v>90</v>
      </c>
      <c r="L445">
        <v>189.9</v>
      </c>
      <c r="M445" t="s">
        <v>20</v>
      </c>
      <c r="N445" t="s">
        <v>21</v>
      </c>
    </row>
    <row r="446" spans="1:14" x14ac:dyDescent="0.25">
      <c r="A446" t="s">
        <v>701</v>
      </c>
      <c r="B446" s="1">
        <v>46230.548935185187</v>
      </c>
      <c r="C446" t="s">
        <v>702</v>
      </c>
      <c r="D446" t="s">
        <v>72</v>
      </c>
      <c r="E446" t="s">
        <v>50</v>
      </c>
      <c r="F446" t="s">
        <v>51</v>
      </c>
      <c r="G446">
        <v>1</v>
      </c>
      <c r="H446">
        <v>319.89999999999998</v>
      </c>
      <c r="I446">
        <v>105</v>
      </c>
      <c r="J446">
        <v>319.89999999999998</v>
      </c>
      <c r="K446">
        <v>105</v>
      </c>
      <c r="L446">
        <v>214.9</v>
      </c>
      <c r="M446" t="s">
        <v>30</v>
      </c>
      <c r="N446" t="s">
        <v>21</v>
      </c>
    </row>
    <row r="447" spans="1:14" x14ac:dyDescent="0.25">
      <c r="A447" t="s">
        <v>703</v>
      </c>
      <c r="B447" s="1">
        <v>46140.369108796294</v>
      </c>
      <c r="C447" t="s">
        <v>286</v>
      </c>
      <c r="D447" t="s">
        <v>1</v>
      </c>
      <c r="E447" t="s">
        <v>25</v>
      </c>
      <c r="F447" t="s">
        <v>33</v>
      </c>
      <c r="G447">
        <v>1</v>
      </c>
      <c r="H447">
        <v>169.9</v>
      </c>
      <c r="I447">
        <v>55</v>
      </c>
      <c r="J447">
        <v>169.9</v>
      </c>
      <c r="K447">
        <v>55</v>
      </c>
      <c r="L447">
        <v>114.9</v>
      </c>
      <c r="M447" t="s">
        <v>30</v>
      </c>
      <c r="N447" t="s">
        <v>21</v>
      </c>
    </row>
    <row r="448" spans="1:14" x14ac:dyDescent="0.25">
      <c r="A448" t="s">
        <v>704</v>
      </c>
      <c r="B448" s="1">
        <v>46247.119305555556</v>
      </c>
      <c r="C448" t="s">
        <v>563</v>
      </c>
      <c r="D448" t="s">
        <v>72</v>
      </c>
      <c r="E448" t="s">
        <v>25</v>
      </c>
      <c r="F448" t="s">
        <v>47</v>
      </c>
      <c r="G448">
        <v>3</v>
      </c>
      <c r="H448">
        <v>159.9</v>
      </c>
      <c r="I448">
        <v>52</v>
      </c>
      <c r="J448">
        <v>479.7</v>
      </c>
      <c r="K448">
        <v>156</v>
      </c>
      <c r="L448">
        <v>323.7</v>
      </c>
      <c r="M448" t="s">
        <v>20</v>
      </c>
      <c r="N448" t="s">
        <v>27</v>
      </c>
    </row>
    <row r="449" spans="1:14" x14ac:dyDescent="0.25">
      <c r="A449" t="s">
        <v>705</v>
      </c>
      <c r="B449" s="1">
        <v>46303.515046296299</v>
      </c>
      <c r="C449" t="s">
        <v>94</v>
      </c>
      <c r="D449" t="s">
        <v>36</v>
      </c>
      <c r="E449" t="s">
        <v>58</v>
      </c>
      <c r="F449" t="s">
        <v>73</v>
      </c>
      <c r="G449">
        <v>1</v>
      </c>
      <c r="H449">
        <v>219.9</v>
      </c>
      <c r="I449">
        <v>70</v>
      </c>
      <c r="J449">
        <v>219.9</v>
      </c>
      <c r="K449">
        <v>70</v>
      </c>
      <c r="L449">
        <v>149.9</v>
      </c>
      <c r="M449" t="s">
        <v>30</v>
      </c>
      <c r="N449" t="s">
        <v>21</v>
      </c>
    </row>
    <row r="450" spans="1:14" x14ac:dyDescent="0.25">
      <c r="A450" t="s">
        <v>706</v>
      </c>
      <c r="B450" s="1">
        <v>46312.255057870374</v>
      </c>
      <c r="C450" t="s">
        <v>389</v>
      </c>
      <c r="D450" t="s">
        <v>39</v>
      </c>
      <c r="E450" t="s">
        <v>25</v>
      </c>
      <c r="F450" t="s">
        <v>40</v>
      </c>
      <c r="G450">
        <v>1</v>
      </c>
      <c r="H450">
        <v>139.9</v>
      </c>
      <c r="I450">
        <v>45</v>
      </c>
      <c r="J450">
        <v>139.9</v>
      </c>
      <c r="K450">
        <v>45</v>
      </c>
      <c r="L450">
        <v>94.9</v>
      </c>
      <c r="M450" t="s">
        <v>43</v>
      </c>
      <c r="N450" t="s">
        <v>44</v>
      </c>
    </row>
    <row r="451" spans="1:14" x14ac:dyDescent="0.25">
      <c r="A451" t="s">
        <v>707</v>
      </c>
      <c r="B451" s="1">
        <v>46248.773611111108</v>
      </c>
      <c r="C451" t="s">
        <v>300</v>
      </c>
      <c r="D451" t="s">
        <v>36</v>
      </c>
      <c r="E451" t="s">
        <v>25</v>
      </c>
      <c r="F451" t="s">
        <v>47</v>
      </c>
      <c r="G451">
        <v>2</v>
      </c>
      <c r="H451">
        <v>159.9</v>
      </c>
      <c r="I451">
        <v>52</v>
      </c>
      <c r="J451">
        <v>319.8</v>
      </c>
      <c r="K451">
        <v>104</v>
      </c>
      <c r="L451">
        <v>215.8</v>
      </c>
      <c r="M451" t="s">
        <v>20</v>
      </c>
      <c r="N451" t="s">
        <v>21</v>
      </c>
    </row>
    <row r="452" spans="1:14" x14ac:dyDescent="0.25">
      <c r="A452" t="s">
        <v>708</v>
      </c>
      <c r="B452" s="1">
        <v>46202.979155092595</v>
      </c>
      <c r="C452" t="s">
        <v>490</v>
      </c>
      <c r="D452" t="s">
        <v>24</v>
      </c>
      <c r="E452" t="s">
        <v>18</v>
      </c>
      <c r="F452" t="s">
        <v>135</v>
      </c>
      <c r="G452">
        <v>2</v>
      </c>
      <c r="H452">
        <v>89.9</v>
      </c>
      <c r="I452">
        <v>25</v>
      </c>
      <c r="J452">
        <v>179.8</v>
      </c>
      <c r="K452">
        <v>50</v>
      </c>
      <c r="L452">
        <v>129.80000000000001</v>
      </c>
      <c r="M452" t="s">
        <v>20</v>
      </c>
      <c r="N452" t="s">
        <v>27</v>
      </c>
    </row>
    <row r="453" spans="1:14" x14ac:dyDescent="0.25">
      <c r="A453" t="s">
        <v>709</v>
      </c>
      <c r="B453" s="1">
        <v>46173.155949074076</v>
      </c>
      <c r="C453" t="s">
        <v>316</v>
      </c>
      <c r="D453" t="s">
        <v>36</v>
      </c>
      <c r="E453" t="s">
        <v>50</v>
      </c>
      <c r="F453" t="s">
        <v>51</v>
      </c>
      <c r="G453">
        <v>1</v>
      </c>
      <c r="H453">
        <v>319.89999999999998</v>
      </c>
      <c r="I453">
        <v>105</v>
      </c>
      <c r="J453">
        <v>319.89999999999998</v>
      </c>
      <c r="K453">
        <v>105</v>
      </c>
      <c r="L453">
        <v>214.9</v>
      </c>
      <c r="M453" t="s">
        <v>30</v>
      </c>
      <c r="N453" t="s">
        <v>27</v>
      </c>
    </row>
    <row r="454" spans="1:14" x14ac:dyDescent="0.25">
      <c r="A454" t="s">
        <v>710</v>
      </c>
      <c r="B454" s="1">
        <v>46163.263194444444</v>
      </c>
      <c r="C454" t="s">
        <v>38</v>
      </c>
      <c r="D454" t="s">
        <v>39</v>
      </c>
      <c r="E454" t="s">
        <v>50</v>
      </c>
      <c r="F454" t="s">
        <v>77</v>
      </c>
      <c r="G454">
        <v>2</v>
      </c>
      <c r="H454">
        <v>289.89999999999998</v>
      </c>
      <c r="I454">
        <v>95</v>
      </c>
      <c r="J454">
        <v>579.79999999999995</v>
      </c>
      <c r="K454">
        <v>190</v>
      </c>
      <c r="L454">
        <v>389.8</v>
      </c>
      <c r="M454" t="s">
        <v>30</v>
      </c>
      <c r="N454" t="s">
        <v>27</v>
      </c>
    </row>
    <row r="455" spans="1:14" x14ac:dyDescent="0.25">
      <c r="A455" t="s">
        <v>711</v>
      </c>
      <c r="B455" s="1">
        <v>46307.994421296295</v>
      </c>
      <c r="C455" t="s">
        <v>389</v>
      </c>
      <c r="D455" t="s">
        <v>54</v>
      </c>
      <c r="E455" t="s">
        <v>50</v>
      </c>
      <c r="F455" t="s">
        <v>77</v>
      </c>
      <c r="G455">
        <v>2</v>
      </c>
      <c r="H455">
        <v>289.89999999999998</v>
      </c>
      <c r="I455">
        <v>95</v>
      </c>
      <c r="J455">
        <v>579.79999999999995</v>
      </c>
      <c r="K455">
        <v>190</v>
      </c>
      <c r="L455">
        <v>389.8</v>
      </c>
      <c r="M455" t="s">
        <v>30</v>
      </c>
      <c r="N455" t="s">
        <v>27</v>
      </c>
    </row>
    <row r="456" spans="1:14" x14ac:dyDescent="0.25">
      <c r="A456" t="s">
        <v>712</v>
      </c>
      <c r="B456" s="1">
        <v>46310.952615740738</v>
      </c>
      <c r="C456" t="s">
        <v>322</v>
      </c>
      <c r="D456" t="s">
        <v>24</v>
      </c>
      <c r="E456" t="s">
        <v>25</v>
      </c>
      <c r="F456" t="s">
        <v>33</v>
      </c>
      <c r="G456">
        <v>1</v>
      </c>
      <c r="H456">
        <v>169.9</v>
      </c>
      <c r="I456">
        <v>55</v>
      </c>
      <c r="J456">
        <v>169.9</v>
      </c>
      <c r="K456">
        <v>55</v>
      </c>
      <c r="L456">
        <v>114.9</v>
      </c>
      <c r="M456" t="s">
        <v>20</v>
      </c>
      <c r="N456" t="s">
        <v>67</v>
      </c>
    </row>
    <row r="457" spans="1:14" x14ac:dyDescent="0.25">
      <c r="A457" t="s">
        <v>713</v>
      </c>
      <c r="B457" s="1">
        <v>46306.855196759258</v>
      </c>
      <c r="C457" t="s">
        <v>373</v>
      </c>
      <c r="D457" t="s">
        <v>36</v>
      </c>
      <c r="E457" t="s">
        <v>58</v>
      </c>
      <c r="F457" t="s">
        <v>95</v>
      </c>
      <c r="G457">
        <v>1</v>
      </c>
      <c r="H457">
        <v>279.89999999999998</v>
      </c>
      <c r="I457">
        <v>90</v>
      </c>
      <c r="J457">
        <v>279.89999999999998</v>
      </c>
      <c r="K457">
        <v>90</v>
      </c>
      <c r="L457">
        <v>189.9</v>
      </c>
      <c r="M457" t="s">
        <v>20</v>
      </c>
      <c r="N457" t="s">
        <v>21</v>
      </c>
    </row>
    <row r="458" spans="1:14" x14ac:dyDescent="0.25">
      <c r="A458" t="s">
        <v>714</v>
      </c>
      <c r="B458" s="1">
        <v>46227.856354166666</v>
      </c>
      <c r="C458" t="s">
        <v>715</v>
      </c>
      <c r="D458" t="s">
        <v>24</v>
      </c>
      <c r="E458" t="s">
        <v>25</v>
      </c>
      <c r="F458" t="s">
        <v>47</v>
      </c>
      <c r="G458">
        <v>1</v>
      </c>
      <c r="H458">
        <v>159.9</v>
      </c>
      <c r="I458">
        <v>52</v>
      </c>
      <c r="J458">
        <v>159.9</v>
      </c>
      <c r="K458">
        <v>52</v>
      </c>
      <c r="L458">
        <v>107.9</v>
      </c>
      <c r="M458" t="s">
        <v>30</v>
      </c>
      <c r="N458" t="s">
        <v>21</v>
      </c>
    </row>
    <row r="459" spans="1:14" x14ac:dyDescent="0.25">
      <c r="A459" t="s">
        <v>716</v>
      </c>
      <c r="B459" s="1">
        <v>46273.479583333334</v>
      </c>
      <c r="C459" t="s">
        <v>449</v>
      </c>
      <c r="D459" t="s">
        <v>24</v>
      </c>
      <c r="E459" t="s">
        <v>18</v>
      </c>
      <c r="F459" t="s">
        <v>222</v>
      </c>
      <c r="G459">
        <v>1</v>
      </c>
      <c r="H459">
        <v>79.900000000000006</v>
      </c>
      <c r="I459">
        <v>22</v>
      </c>
      <c r="J459">
        <v>79.900000000000006</v>
      </c>
      <c r="K459">
        <v>22</v>
      </c>
      <c r="L459">
        <v>57.9</v>
      </c>
      <c r="M459" t="s">
        <v>30</v>
      </c>
      <c r="N459" t="s">
        <v>21</v>
      </c>
    </row>
    <row r="460" spans="1:14" x14ac:dyDescent="0.25">
      <c r="A460" t="s">
        <v>717</v>
      </c>
      <c r="B460" s="1">
        <v>46130.711365740739</v>
      </c>
      <c r="C460" t="s">
        <v>308</v>
      </c>
      <c r="D460" t="s">
        <v>36</v>
      </c>
      <c r="E460" t="s">
        <v>25</v>
      </c>
      <c r="F460" t="s">
        <v>47</v>
      </c>
      <c r="G460">
        <v>1</v>
      </c>
      <c r="H460">
        <v>159.9</v>
      </c>
      <c r="I460">
        <v>52</v>
      </c>
      <c r="J460">
        <v>159.9</v>
      </c>
      <c r="K460">
        <v>52</v>
      </c>
      <c r="L460">
        <v>107.9</v>
      </c>
      <c r="M460" t="s">
        <v>20</v>
      </c>
      <c r="N460" t="s">
        <v>21</v>
      </c>
    </row>
    <row r="461" spans="1:14" x14ac:dyDescent="0.25">
      <c r="A461" t="s">
        <v>718</v>
      </c>
      <c r="B461" s="1">
        <v>46183.897199074076</v>
      </c>
      <c r="C461" t="s">
        <v>686</v>
      </c>
      <c r="D461" t="s">
        <v>24</v>
      </c>
      <c r="E461" t="s">
        <v>25</v>
      </c>
      <c r="F461" t="s">
        <v>47</v>
      </c>
      <c r="G461">
        <v>1</v>
      </c>
      <c r="H461">
        <v>159.9</v>
      </c>
      <c r="I461">
        <v>52</v>
      </c>
      <c r="J461">
        <v>159.9</v>
      </c>
      <c r="K461">
        <v>52</v>
      </c>
      <c r="L461">
        <v>107.9</v>
      </c>
      <c r="M461" t="s">
        <v>30</v>
      </c>
      <c r="N461" t="s">
        <v>27</v>
      </c>
    </row>
    <row r="462" spans="1:14" x14ac:dyDescent="0.25">
      <c r="A462" t="s">
        <v>719</v>
      </c>
      <c r="B462" s="1">
        <v>46242.112546296295</v>
      </c>
      <c r="C462" t="s">
        <v>503</v>
      </c>
      <c r="D462" t="s">
        <v>39</v>
      </c>
      <c r="E462" t="s">
        <v>50</v>
      </c>
      <c r="F462" t="s">
        <v>51</v>
      </c>
      <c r="G462">
        <v>1</v>
      </c>
      <c r="H462">
        <v>319.89999999999998</v>
      </c>
      <c r="I462">
        <v>105</v>
      </c>
      <c r="J462">
        <v>319.89999999999998</v>
      </c>
      <c r="K462">
        <v>105</v>
      </c>
      <c r="L462">
        <v>214.9</v>
      </c>
      <c r="M462" t="s">
        <v>30</v>
      </c>
      <c r="N462" t="s">
        <v>27</v>
      </c>
    </row>
    <row r="463" spans="1:14" x14ac:dyDescent="0.25">
      <c r="A463" t="s">
        <v>720</v>
      </c>
      <c r="B463" s="1">
        <v>46228.05704861111</v>
      </c>
      <c r="C463" t="s">
        <v>686</v>
      </c>
      <c r="D463" t="s">
        <v>1</v>
      </c>
      <c r="E463" t="s">
        <v>25</v>
      </c>
      <c r="F463" t="s">
        <v>47</v>
      </c>
      <c r="G463">
        <v>1</v>
      </c>
      <c r="H463">
        <v>159.9</v>
      </c>
      <c r="I463">
        <v>52</v>
      </c>
      <c r="J463">
        <v>159.9</v>
      </c>
      <c r="K463">
        <v>52</v>
      </c>
      <c r="L463">
        <v>107.9</v>
      </c>
      <c r="M463" t="s">
        <v>30</v>
      </c>
      <c r="N463" t="s">
        <v>27</v>
      </c>
    </row>
    <row r="464" spans="1:14" x14ac:dyDescent="0.25">
      <c r="A464" t="s">
        <v>721</v>
      </c>
      <c r="B464" s="1">
        <v>46186.116400462961</v>
      </c>
      <c r="C464" t="s">
        <v>419</v>
      </c>
      <c r="D464" t="s">
        <v>36</v>
      </c>
      <c r="E464" t="s">
        <v>58</v>
      </c>
      <c r="F464" t="s">
        <v>59</v>
      </c>
      <c r="G464">
        <v>1</v>
      </c>
      <c r="H464">
        <v>249.9</v>
      </c>
      <c r="I464">
        <v>80</v>
      </c>
      <c r="J464">
        <v>249.9</v>
      </c>
      <c r="K464">
        <v>80</v>
      </c>
      <c r="L464">
        <v>169.9</v>
      </c>
      <c r="M464" t="s">
        <v>20</v>
      </c>
      <c r="N464" t="s">
        <v>67</v>
      </c>
    </row>
    <row r="465" spans="1:14" x14ac:dyDescent="0.25">
      <c r="A465" t="s">
        <v>722</v>
      </c>
      <c r="B465" s="1">
        <v>46270.901238425926</v>
      </c>
      <c r="C465" t="s">
        <v>128</v>
      </c>
      <c r="D465" t="s">
        <v>24</v>
      </c>
      <c r="E465" t="s">
        <v>25</v>
      </c>
      <c r="F465" t="s">
        <v>33</v>
      </c>
      <c r="G465">
        <v>1</v>
      </c>
      <c r="H465">
        <v>169.9</v>
      </c>
      <c r="I465">
        <v>55</v>
      </c>
      <c r="J465">
        <v>169.9</v>
      </c>
      <c r="K465">
        <v>55</v>
      </c>
      <c r="L465">
        <v>114.9</v>
      </c>
      <c r="M465" t="s">
        <v>30</v>
      </c>
      <c r="N465" t="s">
        <v>27</v>
      </c>
    </row>
    <row r="466" spans="1:14" x14ac:dyDescent="0.25">
      <c r="A466" t="s">
        <v>723</v>
      </c>
      <c r="B466" s="1">
        <v>46231.880370370367</v>
      </c>
      <c r="C466" t="s">
        <v>69</v>
      </c>
      <c r="D466" t="s">
        <v>62</v>
      </c>
      <c r="E466" t="s">
        <v>58</v>
      </c>
      <c r="F466" t="s">
        <v>95</v>
      </c>
      <c r="G466">
        <v>1</v>
      </c>
      <c r="H466">
        <v>279.89999999999998</v>
      </c>
      <c r="I466">
        <v>90</v>
      </c>
      <c r="J466">
        <v>279.89999999999998</v>
      </c>
      <c r="K466">
        <v>90</v>
      </c>
      <c r="L466">
        <v>189.9</v>
      </c>
      <c r="M466" t="s">
        <v>30</v>
      </c>
      <c r="N466" t="s">
        <v>27</v>
      </c>
    </row>
    <row r="467" spans="1:14" x14ac:dyDescent="0.25">
      <c r="A467" t="s">
        <v>724</v>
      </c>
      <c r="B467" s="1">
        <v>46123.682256944441</v>
      </c>
      <c r="C467" t="s">
        <v>469</v>
      </c>
      <c r="D467" t="s">
        <v>57</v>
      </c>
      <c r="E467" t="s">
        <v>58</v>
      </c>
      <c r="F467" t="s">
        <v>95</v>
      </c>
      <c r="G467">
        <v>1</v>
      </c>
      <c r="H467">
        <v>279.89999999999998</v>
      </c>
      <c r="I467">
        <v>90</v>
      </c>
      <c r="J467">
        <v>279.89999999999998</v>
      </c>
      <c r="K467">
        <v>90</v>
      </c>
      <c r="L467">
        <v>189.9</v>
      </c>
      <c r="M467" t="s">
        <v>20</v>
      </c>
      <c r="N467" t="s">
        <v>21</v>
      </c>
    </row>
    <row r="468" spans="1:14" x14ac:dyDescent="0.25">
      <c r="A468" t="s">
        <v>725</v>
      </c>
      <c r="B468" s="1">
        <v>46279.285555555558</v>
      </c>
      <c r="C468" t="s">
        <v>636</v>
      </c>
      <c r="D468" t="s">
        <v>24</v>
      </c>
      <c r="E468" t="s">
        <v>25</v>
      </c>
      <c r="F468" t="s">
        <v>33</v>
      </c>
      <c r="G468">
        <v>1</v>
      </c>
      <c r="H468">
        <v>169.9</v>
      </c>
      <c r="I468">
        <v>55</v>
      </c>
      <c r="J468">
        <v>169.9</v>
      </c>
      <c r="K468">
        <v>55</v>
      </c>
      <c r="L468">
        <v>114.9</v>
      </c>
      <c r="M468" t="s">
        <v>20</v>
      </c>
      <c r="N468" t="s">
        <v>21</v>
      </c>
    </row>
    <row r="469" spans="1:14" x14ac:dyDescent="0.25">
      <c r="A469" t="s">
        <v>726</v>
      </c>
      <c r="B469" s="1">
        <v>46241.228854166664</v>
      </c>
      <c r="C469" t="s">
        <v>458</v>
      </c>
      <c r="D469" t="s">
        <v>1</v>
      </c>
      <c r="E469" t="s">
        <v>50</v>
      </c>
      <c r="F469" t="s">
        <v>77</v>
      </c>
      <c r="G469">
        <v>1</v>
      </c>
      <c r="H469">
        <v>289.89999999999998</v>
      </c>
      <c r="I469">
        <v>95</v>
      </c>
      <c r="J469">
        <v>289.89999999999998</v>
      </c>
      <c r="K469">
        <v>95</v>
      </c>
      <c r="L469">
        <v>194.9</v>
      </c>
      <c r="M469" t="s">
        <v>30</v>
      </c>
      <c r="N469" t="s">
        <v>27</v>
      </c>
    </row>
    <row r="470" spans="1:14" x14ac:dyDescent="0.25">
      <c r="A470" t="s">
        <v>727</v>
      </c>
      <c r="B470" s="1">
        <v>46228.157013888886</v>
      </c>
      <c r="C470" t="s">
        <v>655</v>
      </c>
      <c r="D470" t="s">
        <v>72</v>
      </c>
      <c r="E470" t="s">
        <v>25</v>
      </c>
      <c r="F470" t="s">
        <v>47</v>
      </c>
      <c r="G470">
        <v>1</v>
      </c>
      <c r="H470">
        <v>159.9</v>
      </c>
      <c r="I470">
        <v>52</v>
      </c>
      <c r="J470">
        <v>159.9</v>
      </c>
      <c r="K470">
        <v>52</v>
      </c>
      <c r="L470">
        <v>107.9</v>
      </c>
      <c r="M470" t="s">
        <v>30</v>
      </c>
      <c r="N470" t="s">
        <v>27</v>
      </c>
    </row>
    <row r="471" spans="1:14" x14ac:dyDescent="0.25">
      <c r="A471" t="s">
        <v>728</v>
      </c>
      <c r="B471" s="1">
        <v>46295.127928240741</v>
      </c>
      <c r="C471" t="s">
        <v>128</v>
      </c>
      <c r="D471" t="s">
        <v>54</v>
      </c>
      <c r="E471" t="s">
        <v>50</v>
      </c>
      <c r="F471" t="s">
        <v>84</v>
      </c>
      <c r="G471">
        <v>1</v>
      </c>
      <c r="H471">
        <v>259.89999999999998</v>
      </c>
      <c r="I471">
        <v>82</v>
      </c>
      <c r="J471">
        <v>259.89999999999998</v>
      </c>
      <c r="K471">
        <v>82</v>
      </c>
      <c r="L471">
        <v>177.9</v>
      </c>
      <c r="M471" t="s">
        <v>20</v>
      </c>
      <c r="N471" t="s">
        <v>21</v>
      </c>
    </row>
    <row r="472" spans="1:14" x14ac:dyDescent="0.25">
      <c r="A472" t="s">
        <v>729</v>
      </c>
      <c r="B472" s="1">
        <v>46157.059374999997</v>
      </c>
      <c r="C472" t="s">
        <v>107</v>
      </c>
      <c r="D472" t="s">
        <v>54</v>
      </c>
      <c r="E472" t="s">
        <v>18</v>
      </c>
      <c r="F472" t="s">
        <v>19</v>
      </c>
      <c r="G472">
        <v>1</v>
      </c>
      <c r="H472">
        <v>129.9</v>
      </c>
      <c r="I472">
        <v>40</v>
      </c>
      <c r="J472">
        <v>129.9</v>
      </c>
      <c r="K472">
        <v>40</v>
      </c>
      <c r="L472">
        <v>89.9</v>
      </c>
      <c r="M472" t="s">
        <v>20</v>
      </c>
      <c r="N472" t="s">
        <v>27</v>
      </c>
    </row>
    <row r="473" spans="1:14" x14ac:dyDescent="0.25">
      <c r="A473" t="s">
        <v>730</v>
      </c>
      <c r="B473" s="1">
        <v>46225.666608796295</v>
      </c>
      <c r="C473" t="s">
        <v>731</v>
      </c>
      <c r="D473" t="s">
        <v>24</v>
      </c>
      <c r="E473" t="s">
        <v>18</v>
      </c>
      <c r="F473" t="s">
        <v>19</v>
      </c>
      <c r="G473">
        <v>1</v>
      </c>
      <c r="H473">
        <v>129.9</v>
      </c>
      <c r="I473">
        <v>40</v>
      </c>
      <c r="J473">
        <v>129.9</v>
      </c>
      <c r="K473">
        <v>40</v>
      </c>
      <c r="L473">
        <v>89.9</v>
      </c>
      <c r="M473" t="s">
        <v>20</v>
      </c>
      <c r="N473" t="s">
        <v>21</v>
      </c>
    </row>
    <row r="474" spans="1:14" x14ac:dyDescent="0.25">
      <c r="A474" t="s">
        <v>732</v>
      </c>
      <c r="B474" s="1">
        <v>46269.24082175926</v>
      </c>
      <c r="C474" t="s">
        <v>292</v>
      </c>
      <c r="D474" t="s">
        <v>24</v>
      </c>
      <c r="E474" t="s">
        <v>25</v>
      </c>
      <c r="F474" t="s">
        <v>47</v>
      </c>
      <c r="G474">
        <v>1</v>
      </c>
      <c r="H474">
        <v>159.9</v>
      </c>
      <c r="I474">
        <v>52</v>
      </c>
      <c r="J474">
        <v>159.9</v>
      </c>
      <c r="K474">
        <v>52</v>
      </c>
      <c r="L474">
        <v>107.9</v>
      </c>
      <c r="M474" t="s">
        <v>30</v>
      </c>
      <c r="N474" t="s">
        <v>27</v>
      </c>
    </row>
    <row r="475" spans="1:14" x14ac:dyDescent="0.25">
      <c r="A475" t="s">
        <v>733</v>
      </c>
      <c r="B475" s="1">
        <v>46185.587719907409</v>
      </c>
      <c r="C475" t="s">
        <v>350</v>
      </c>
      <c r="D475" t="s">
        <v>24</v>
      </c>
      <c r="E475" t="s">
        <v>25</v>
      </c>
      <c r="F475" t="s">
        <v>47</v>
      </c>
      <c r="G475">
        <v>1</v>
      </c>
      <c r="H475">
        <v>159.9</v>
      </c>
      <c r="I475">
        <v>52</v>
      </c>
      <c r="J475">
        <v>159.9</v>
      </c>
      <c r="K475">
        <v>52</v>
      </c>
      <c r="L475">
        <v>107.9</v>
      </c>
      <c r="M475" t="s">
        <v>30</v>
      </c>
      <c r="N475" t="s">
        <v>27</v>
      </c>
    </row>
    <row r="476" spans="1:14" x14ac:dyDescent="0.25">
      <c r="A476" t="s">
        <v>734</v>
      </c>
      <c r="B476" s="1">
        <v>46286.907013888886</v>
      </c>
      <c r="C476" t="s">
        <v>735</v>
      </c>
      <c r="D476" t="s">
        <v>54</v>
      </c>
      <c r="E476" t="s">
        <v>58</v>
      </c>
      <c r="F476" t="s">
        <v>95</v>
      </c>
      <c r="G476">
        <v>2</v>
      </c>
      <c r="H476">
        <v>279.89999999999998</v>
      </c>
      <c r="I476">
        <v>90</v>
      </c>
      <c r="J476">
        <v>559.79999999999995</v>
      </c>
      <c r="K476">
        <v>180</v>
      </c>
      <c r="L476">
        <v>379.8</v>
      </c>
      <c r="M476" t="s">
        <v>30</v>
      </c>
      <c r="N476" t="s">
        <v>27</v>
      </c>
    </row>
    <row r="477" spans="1:14" x14ac:dyDescent="0.25">
      <c r="A477" t="s">
        <v>736</v>
      </c>
      <c r="B477" s="1">
        <v>46278.507673611108</v>
      </c>
      <c r="C477" t="s">
        <v>594</v>
      </c>
      <c r="D477" t="s">
        <v>24</v>
      </c>
      <c r="E477" t="s">
        <v>25</v>
      </c>
      <c r="F477" t="s">
        <v>47</v>
      </c>
      <c r="G477">
        <v>2</v>
      </c>
      <c r="H477">
        <v>159.9</v>
      </c>
      <c r="I477">
        <v>52</v>
      </c>
      <c r="J477">
        <v>319.8</v>
      </c>
      <c r="K477">
        <v>104</v>
      </c>
      <c r="L477">
        <v>215.8</v>
      </c>
      <c r="M477" t="s">
        <v>30</v>
      </c>
      <c r="N477" t="s">
        <v>27</v>
      </c>
    </row>
    <row r="478" spans="1:14" x14ac:dyDescent="0.25">
      <c r="A478" t="s">
        <v>737</v>
      </c>
      <c r="B478" s="1">
        <v>46137.846446759257</v>
      </c>
      <c r="C478" t="s">
        <v>29</v>
      </c>
      <c r="D478" t="s">
        <v>39</v>
      </c>
      <c r="E478" t="s">
        <v>58</v>
      </c>
      <c r="F478" t="s">
        <v>73</v>
      </c>
      <c r="G478">
        <v>3</v>
      </c>
      <c r="H478">
        <v>219.9</v>
      </c>
      <c r="I478">
        <v>70</v>
      </c>
      <c r="J478">
        <v>659.7</v>
      </c>
      <c r="K478">
        <v>210</v>
      </c>
      <c r="L478">
        <v>449.7</v>
      </c>
      <c r="M478" t="s">
        <v>30</v>
      </c>
      <c r="N478" t="s">
        <v>27</v>
      </c>
    </row>
    <row r="479" spans="1:14" x14ac:dyDescent="0.25">
      <c r="A479" t="s">
        <v>738</v>
      </c>
      <c r="B479" s="1">
        <v>46185.382280092592</v>
      </c>
      <c r="C479" t="s">
        <v>365</v>
      </c>
      <c r="D479" t="s">
        <v>36</v>
      </c>
      <c r="E479" t="s">
        <v>25</v>
      </c>
      <c r="F479" t="s">
        <v>26</v>
      </c>
      <c r="G479">
        <v>1</v>
      </c>
      <c r="H479">
        <v>139.9</v>
      </c>
      <c r="I479">
        <v>45</v>
      </c>
      <c r="J479">
        <v>139.9</v>
      </c>
      <c r="K479">
        <v>45</v>
      </c>
      <c r="L479">
        <v>94.9</v>
      </c>
      <c r="M479" t="s">
        <v>20</v>
      </c>
      <c r="N479" t="s">
        <v>27</v>
      </c>
    </row>
    <row r="480" spans="1:14" x14ac:dyDescent="0.25">
      <c r="A480" t="s">
        <v>739</v>
      </c>
      <c r="B480" s="1">
        <v>46198.12363425926</v>
      </c>
      <c r="C480" t="s">
        <v>203</v>
      </c>
      <c r="D480" t="s">
        <v>1</v>
      </c>
      <c r="E480" t="s">
        <v>25</v>
      </c>
      <c r="F480" t="s">
        <v>26</v>
      </c>
      <c r="G480">
        <v>1</v>
      </c>
      <c r="H480">
        <v>139.9</v>
      </c>
      <c r="I480">
        <v>45</v>
      </c>
      <c r="J480">
        <v>139.9</v>
      </c>
      <c r="K480">
        <v>45</v>
      </c>
      <c r="L480">
        <v>94.9</v>
      </c>
      <c r="M480" t="s">
        <v>30</v>
      </c>
      <c r="N480" t="s">
        <v>27</v>
      </c>
    </row>
    <row r="481" spans="1:14" x14ac:dyDescent="0.25">
      <c r="A481" t="s">
        <v>740</v>
      </c>
      <c r="B481" s="1">
        <v>46202.470625000002</v>
      </c>
      <c r="C481" t="s">
        <v>583</v>
      </c>
      <c r="D481" t="s">
        <v>24</v>
      </c>
      <c r="E481" t="s">
        <v>25</v>
      </c>
      <c r="F481" t="s">
        <v>33</v>
      </c>
      <c r="G481">
        <v>1</v>
      </c>
      <c r="H481">
        <v>169.9</v>
      </c>
      <c r="I481">
        <v>55</v>
      </c>
      <c r="J481">
        <v>169.9</v>
      </c>
      <c r="K481">
        <v>55</v>
      </c>
      <c r="L481">
        <v>114.9</v>
      </c>
      <c r="M481" t="s">
        <v>20</v>
      </c>
      <c r="N481" t="s">
        <v>27</v>
      </c>
    </row>
    <row r="482" spans="1:14" x14ac:dyDescent="0.25">
      <c r="A482" t="s">
        <v>741</v>
      </c>
      <c r="B482" s="1">
        <v>46146.902696759258</v>
      </c>
      <c r="C482" t="s">
        <v>160</v>
      </c>
      <c r="D482" t="s">
        <v>24</v>
      </c>
      <c r="E482" t="s">
        <v>25</v>
      </c>
      <c r="F482" t="s">
        <v>40</v>
      </c>
      <c r="G482">
        <v>1</v>
      </c>
      <c r="H482">
        <v>139.9</v>
      </c>
      <c r="I482">
        <v>45</v>
      </c>
      <c r="J482">
        <v>139.9</v>
      </c>
      <c r="K482">
        <v>45</v>
      </c>
      <c r="L482">
        <v>94.9</v>
      </c>
      <c r="M482" t="s">
        <v>30</v>
      </c>
      <c r="N482" t="s">
        <v>27</v>
      </c>
    </row>
    <row r="483" spans="1:14" x14ac:dyDescent="0.25">
      <c r="A483" t="s">
        <v>742</v>
      </c>
      <c r="B483" s="1">
        <v>46192.847905092596</v>
      </c>
      <c r="C483" t="s">
        <v>743</v>
      </c>
      <c r="D483" t="s">
        <v>36</v>
      </c>
      <c r="E483" t="s">
        <v>25</v>
      </c>
      <c r="F483" t="s">
        <v>47</v>
      </c>
      <c r="G483">
        <v>1</v>
      </c>
      <c r="H483">
        <v>159.9</v>
      </c>
      <c r="I483">
        <v>52</v>
      </c>
      <c r="J483">
        <v>159.9</v>
      </c>
      <c r="K483">
        <v>52</v>
      </c>
      <c r="L483">
        <v>107.9</v>
      </c>
      <c r="M483" t="s">
        <v>43</v>
      </c>
      <c r="N483" t="s">
        <v>27</v>
      </c>
    </row>
    <row r="484" spans="1:14" x14ac:dyDescent="0.25">
      <c r="A484" t="s">
        <v>744</v>
      </c>
      <c r="B484" s="1">
        <v>46145.79855324074</v>
      </c>
      <c r="C484" t="s">
        <v>35</v>
      </c>
      <c r="D484" t="s">
        <v>54</v>
      </c>
      <c r="E484" t="s">
        <v>25</v>
      </c>
      <c r="F484" t="s">
        <v>33</v>
      </c>
      <c r="G484">
        <v>1</v>
      </c>
      <c r="H484">
        <v>169.9</v>
      </c>
      <c r="I484">
        <v>55</v>
      </c>
      <c r="J484">
        <v>169.9</v>
      </c>
      <c r="K484">
        <v>55</v>
      </c>
      <c r="L484">
        <v>114.9</v>
      </c>
      <c r="M484" t="s">
        <v>30</v>
      </c>
      <c r="N484" t="s">
        <v>27</v>
      </c>
    </row>
    <row r="485" spans="1:14" x14ac:dyDescent="0.25">
      <c r="A485" t="s">
        <v>745</v>
      </c>
      <c r="B485" s="1">
        <v>46243.548900462964</v>
      </c>
      <c r="C485" t="s">
        <v>624</v>
      </c>
      <c r="D485" t="s">
        <v>57</v>
      </c>
      <c r="E485" t="s">
        <v>25</v>
      </c>
      <c r="F485" t="s">
        <v>47</v>
      </c>
      <c r="G485">
        <v>1</v>
      </c>
      <c r="H485">
        <v>159.9</v>
      </c>
      <c r="I485">
        <v>52</v>
      </c>
      <c r="J485">
        <v>159.9</v>
      </c>
      <c r="K485">
        <v>52</v>
      </c>
      <c r="L485">
        <v>107.9</v>
      </c>
      <c r="M485" t="s">
        <v>30</v>
      </c>
      <c r="N485" t="s">
        <v>27</v>
      </c>
    </row>
    <row r="486" spans="1:14" x14ac:dyDescent="0.25">
      <c r="A486" t="s">
        <v>746</v>
      </c>
      <c r="B486" s="1">
        <v>46192.273460648146</v>
      </c>
      <c r="C486" t="s">
        <v>747</v>
      </c>
      <c r="D486" t="s">
        <v>24</v>
      </c>
      <c r="E486" t="s">
        <v>25</v>
      </c>
      <c r="F486" t="s">
        <v>26</v>
      </c>
      <c r="G486">
        <v>2</v>
      </c>
      <c r="H486">
        <v>139.9</v>
      </c>
      <c r="I486">
        <v>45</v>
      </c>
      <c r="J486">
        <v>279.8</v>
      </c>
      <c r="K486">
        <v>90</v>
      </c>
      <c r="L486">
        <v>189.8</v>
      </c>
      <c r="M486" t="s">
        <v>30</v>
      </c>
      <c r="N486" t="s">
        <v>21</v>
      </c>
    </row>
    <row r="487" spans="1:14" x14ac:dyDescent="0.25">
      <c r="A487" t="s">
        <v>748</v>
      </c>
      <c r="B487" s="1">
        <v>46200.737685185188</v>
      </c>
      <c r="C487" t="s">
        <v>300</v>
      </c>
      <c r="D487" t="s">
        <v>62</v>
      </c>
      <c r="E487" t="s">
        <v>25</v>
      </c>
      <c r="F487" t="s">
        <v>26</v>
      </c>
      <c r="G487">
        <v>3</v>
      </c>
      <c r="H487">
        <v>139.9</v>
      </c>
      <c r="I487">
        <v>45</v>
      </c>
      <c r="J487">
        <v>419.7</v>
      </c>
      <c r="K487">
        <v>135</v>
      </c>
      <c r="L487">
        <v>284.7</v>
      </c>
      <c r="M487" t="s">
        <v>30</v>
      </c>
      <c r="N487" t="s">
        <v>27</v>
      </c>
    </row>
    <row r="488" spans="1:14" x14ac:dyDescent="0.25">
      <c r="A488" t="s">
        <v>749</v>
      </c>
      <c r="B488" s="1">
        <v>46148.235046296293</v>
      </c>
      <c r="C488" t="s">
        <v>389</v>
      </c>
      <c r="D488" t="s">
        <v>36</v>
      </c>
      <c r="E488" t="s">
        <v>58</v>
      </c>
      <c r="F488" t="s">
        <v>73</v>
      </c>
      <c r="G488">
        <v>4</v>
      </c>
      <c r="H488">
        <v>219.9</v>
      </c>
      <c r="I488">
        <v>70</v>
      </c>
      <c r="J488">
        <v>879.6</v>
      </c>
      <c r="K488">
        <v>280</v>
      </c>
      <c r="L488">
        <v>599.6</v>
      </c>
      <c r="M488" t="s">
        <v>30</v>
      </c>
      <c r="N488" t="s">
        <v>67</v>
      </c>
    </row>
    <row r="489" spans="1:14" x14ac:dyDescent="0.25">
      <c r="A489" t="s">
        <v>750</v>
      </c>
      <c r="B489" s="1">
        <v>46314.153425925928</v>
      </c>
      <c r="C489" t="s">
        <v>128</v>
      </c>
      <c r="D489" t="s">
        <v>1</v>
      </c>
      <c r="E489" t="s">
        <v>25</v>
      </c>
      <c r="F489" t="s">
        <v>40</v>
      </c>
      <c r="G489">
        <v>1</v>
      </c>
      <c r="H489">
        <v>139.9</v>
      </c>
      <c r="I489">
        <v>45</v>
      </c>
      <c r="J489">
        <v>139.9</v>
      </c>
      <c r="K489">
        <v>45</v>
      </c>
      <c r="L489">
        <v>94.9</v>
      </c>
      <c r="M489" t="s">
        <v>20</v>
      </c>
      <c r="N489" t="s">
        <v>21</v>
      </c>
    </row>
    <row r="490" spans="1:14" x14ac:dyDescent="0.25">
      <c r="A490" t="s">
        <v>751</v>
      </c>
      <c r="B490" s="1">
        <v>46282.510879629626</v>
      </c>
      <c r="C490" t="s">
        <v>101</v>
      </c>
      <c r="D490" t="s">
        <v>36</v>
      </c>
      <c r="E490" t="s">
        <v>50</v>
      </c>
      <c r="F490" t="s">
        <v>84</v>
      </c>
      <c r="G490">
        <v>2</v>
      </c>
      <c r="H490">
        <v>259.89999999999998</v>
      </c>
      <c r="I490">
        <v>82</v>
      </c>
      <c r="J490">
        <v>519.79999999999995</v>
      </c>
      <c r="K490">
        <v>164</v>
      </c>
      <c r="L490">
        <v>355.8</v>
      </c>
      <c r="M490" t="s">
        <v>20</v>
      </c>
      <c r="N490" t="s">
        <v>27</v>
      </c>
    </row>
    <row r="491" spans="1:14" x14ac:dyDescent="0.25">
      <c r="A491" t="s">
        <v>752</v>
      </c>
      <c r="B491" s="1">
        <v>46146.906041666669</v>
      </c>
      <c r="C491" t="s">
        <v>743</v>
      </c>
      <c r="D491" t="s">
        <v>24</v>
      </c>
      <c r="E491" t="s">
        <v>25</v>
      </c>
      <c r="F491" t="s">
        <v>26</v>
      </c>
      <c r="G491">
        <v>1</v>
      </c>
      <c r="H491">
        <v>139.9</v>
      </c>
      <c r="I491">
        <v>45</v>
      </c>
      <c r="J491">
        <v>139.9</v>
      </c>
      <c r="K491">
        <v>45</v>
      </c>
      <c r="L491">
        <v>94.9</v>
      </c>
      <c r="M491" t="s">
        <v>30</v>
      </c>
      <c r="N491" t="s">
        <v>27</v>
      </c>
    </row>
    <row r="492" spans="1:14" x14ac:dyDescent="0.25">
      <c r="A492" t="s">
        <v>753</v>
      </c>
      <c r="B492" s="1">
        <v>46154.274340277778</v>
      </c>
      <c r="C492" t="s">
        <v>754</v>
      </c>
      <c r="D492" t="s">
        <v>24</v>
      </c>
      <c r="E492" t="s">
        <v>18</v>
      </c>
      <c r="F492" t="s">
        <v>19</v>
      </c>
      <c r="G492">
        <v>1</v>
      </c>
      <c r="H492">
        <v>129.9</v>
      </c>
      <c r="I492">
        <v>40</v>
      </c>
      <c r="J492">
        <v>129.9</v>
      </c>
      <c r="K492">
        <v>40</v>
      </c>
      <c r="L492">
        <v>89.9</v>
      </c>
      <c r="M492" t="s">
        <v>30</v>
      </c>
      <c r="N492" t="s">
        <v>27</v>
      </c>
    </row>
    <row r="493" spans="1:14" x14ac:dyDescent="0.25">
      <c r="A493" t="s">
        <v>755</v>
      </c>
      <c r="B493" s="1">
        <v>46310.947743055556</v>
      </c>
      <c r="C493" t="s">
        <v>655</v>
      </c>
      <c r="D493" t="s">
        <v>24</v>
      </c>
      <c r="E493" t="s">
        <v>25</v>
      </c>
      <c r="F493" t="s">
        <v>26</v>
      </c>
      <c r="G493">
        <v>1</v>
      </c>
      <c r="H493">
        <v>139.9</v>
      </c>
      <c r="I493">
        <v>45</v>
      </c>
      <c r="J493">
        <v>139.9</v>
      </c>
      <c r="K493">
        <v>45</v>
      </c>
      <c r="L493">
        <v>94.9</v>
      </c>
      <c r="M493" t="s">
        <v>30</v>
      </c>
      <c r="N493" t="s">
        <v>27</v>
      </c>
    </row>
    <row r="494" spans="1:14" x14ac:dyDescent="0.25">
      <c r="A494" t="s">
        <v>756</v>
      </c>
      <c r="B494" s="1">
        <v>46297.663958333331</v>
      </c>
      <c r="C494" t="s">
        <v>523</v>
      </c>
      <c r="D494" t="s">
        <v>165</v>
      </c>
      <c r="E494" t="s">
        <v>58</v>
      </c>
      <c r="F494" t="s">
        <v>73</v>
      </c>
      <c r="G494">
        <v>1</v>
      </c>
      <c r="H494">
        <v>219.9</v>
      </c>
      <c r="I494">
        <v>70</v>
      </c>
      <c r="J494">
        <v>219.9</v>
      </c>
      <c r="K494">
        <v>70</v>
      </c>
      <c r="L494">
        <v>149.9</v>
      </c>
      <c r="M494" t="s">
        <v>20</v>
      </c>
      <c r="N494" t="s">
        <v>27</v>
      </c>
    </row>
    <row r="495" spans="1:14" x14ac:dyDescent="0.25">
      <c r="A495" t="s">
        <v>757</v>
      </c>
      <c r="B495" s="1">
        <v>46206.360335648147</v>
      </c>
      <c r="C495" t="s">
        <v>118</v>
      </c>
      <c r="D495" t="s">
        <v>24</v>
      </c>
      <c r="E495" t="s">
        <v>25</v>
      </c>
      <c r="F495" t="s">
        <v>33</v>
      </c>
      <c r="G495">
        <v>1</v>
      </c>
      <c r="H495">
        <v>169.9</v>
      </c>
      <c r="I495">
        <v>55</v>
      </c>
      <c r="J495">
        <v>169.9</v>
      </c>
      <c r="K495">
        <v>55</v>
      </c>
      <c r="L495">
        <v>114.9</v>
      </c>
      <c r="M495" t="s">
        <v>30</v>
      </c>
      <c r="N495" t="s">
        <v>27</v>
      </c>
    </row>
    <row r="496" spans="1:14" x14ac:dyDescent="0.25">
      <c r="A496" t="s">
        <v>758</v>
      </c>
      <c r="B496" s="1">
        <v>46269.432245370372</v>
      </c>
      <c r="C496" t="s">
        <v>759</v>
      </c>
      <c r="D496" t="s">
        <v>24</v>
      </c>
      <c r="E496" t="s">
        <v>18</v>
      </c>
      <c r="F496" t="s">
        <v>19</v>
      </c>
      <c r="G496">
        <v>3</v>
      </c>
      <c r="H496">
        <v>129.9</v>
      </c>
      <c r="I496">
        <v>40</v>
      </c>
      <c r="J496">
        <v>389.7</v>
      </c>
      <c r="K496">
        <v>120</v>
      </c>
      <c r="L496">
        <v>269.7</v>
      </c>
      <c r="M496" t="s">
        <v>20</v>
      </c>
      <c r="N496" t="s">
        <v>27</v>
      </c>
    </row>
    <row r="497" spans="1:14" x14ac:dyDescent="0.25">
      <c r="A497" t="s">
        <v>760</v>
      </c>
      <c r="B497" s="1">
        <v>46313.681030092594</v>
      </c>
      <c r="C497" t="s">
        <v>347</v>
      </c>
      <c r="D497" t="s">
        <v>76</v>
      </c>
      <c r="E497" t="s">
        <v>25</v>
      </c>
      <c r="F497" t="s">
        <v>26</v>
      </c>
      <c r="G497">
        <v>2</v>
      </c>
      <c r="H497">
        <v>139.9</v>
      </c>
      <c r="I497">
        <v>45</v>
      </c>
      <c r="J497">
        <v>279.8</v>
      </c>
      <c r="K497">
        <v>90</v>
      </c>
      <c r="L497">
        <v>189.8</v>
      </c>
      <c r="M497" t="s">
        <v>30</v>
      </c>
      <c r="N497" t="s">
        <v>27</v>
      </c>
    </row>
    <row r="498" spans="1:14" x14ac:dyDescent="0.25">
      <c r="A498" t="s">
        <v>761</v>
      </c>
      <c r="B498" s="1">
        <v>46192.711504629631</v>
      </c>
      <c r="C498" t="s">
        <v>571</v>
      </c>
      <c r="D498" t="s">
        <v>24</v>
      </c>
      <c r="E498" t="s">
        <v>58</v>
      </c>
      <c r="F498" t="s">
        <v>59</v>
      </c>
      <c r="G498">
        <v>3</v>
      </c>
      <c r="H498">
        <v>249.9</v>
      </c>
      <c r="I498">
        <v>80</v>
      </c>
      <c r="J498">
        <v>749.7</v>
      </c>
      <c r="K498">
        <v>240</v>
      </c>
      <c r="L498">
        <v>509.7</v>
      </c>
      <c r="M498" t="s">
        <v>30</v>
      </c>
      <c r="N498" t="s">
        <v>27</v>
      </c>
    </row>
    <row r="499" spans="1:14" x14ac:dyDescent="0.25">
      <c r="A499" t="s">
        <v>762</v>
      </c>
      <c r="B499" s="1">
        <v>46207.865347222221</v>
      </c>
      <c r="C499" t="s">
        <v>341</v>
      </c>
      <c r="D499" t="s">
        <v>165</v>
      </c>
      <c r="E499" t="s">
        <v>50</v>
      </c>
      <c r="F499" t="s">
        <v>51</v>
      </c>
      <c r="G499">
        <v>2</v>
      </c>
      <c r="H499">
        <v>319.89999999999998</v>
      </c>
      <c r="I499">
        <v>105</v>
      </c>
      <c r="J499">
        <v>639.79999999999995</v>
      </c>
      <c r="K499">
        <v>210</v>
      </c>
      <c r="L499">
        <v>429.8</v>
      </c>
      <c r="M499" t="s">
        <v>20</v>
      </c>
      <c r="N499" t="s">
        <v>27</v>
      </c>
    </row>
    <row r="500" spans="1:14" x14ac:dyDescent="0.25">
      <c r="A500" t="s">
        <v>763</v>
      </c>
      <c r="B500" s="1">
        <v>46309.427453703705</v>
      </c>
      <c r="C500" t="s">
        <v>325</v>
      </c>
      <c r="D500" t="s">
        <v>24</v>
      </c>
      <c r="E500" t="s">
        <v>25</v>
      </c>
      <c r="F500" t="s">
        <v>33</v>
      </c>
      <c r="G500">
        <v>2</v>
      </c>
      <c r="H500">
        <v>169.9</v>
      </c>
      <c r="I500">
        <v>55</v>
      </c>
      <c r="J500">
        <v>339.8</v>
      </c>
      <c r="K500">
        <v>110</v>
      </c>
      <c r="L500">
        <v>229.8</v>
      </c>
      <c r="M500" t="s">
        <v>30</v>
      </c>
      <c r="N500" t="s">
        <v>27</v>
      </c>
    </row>
    <row r="501" spans="1:14" x14ac:dyDescent="0.25">
      <c r="A501" t="s">
        <v>764</v>
      </c>
      <c r="B501" s="1">
        <v>46241.800173611111</v>
      </c>
      <c r="C501" t="s">
        <v>213</v>
      </c>
      <c r="D501" t="s">
        <v>1</v>
      </c>
      <c r="E501" t="s">
        <v>50</v>
      </c>
      <c r="F501" t="s">
        <v>77</v>
      </c>
      <c r="G501">
        <v>2</v>
      </c>
      <c r="H501">
        <v>289.89999999999998</v>
      </c>
      <c r="I501">
        <v>95</v>
      </c>
      <c r="J501">
        <v>579.79999999999995</v>
      </c>
      <c r="K501">
        <v>190</v>
      </c>
      <c r="L501">
        <v>389.8</v>
      </c>
      <c r="M501" t="s">
        <v>43</v>
      </c>
      <c r="N501" t="s">
        <v>27</v>
      </c>
    </row>
  </sheetData>
  <autoFilter ref="A1:N501" xr:uid="{47A0A5BB-6C93-45DF-8E75-59B03E5FC90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analytics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Liany Raquel Quinderé</dc:creator>
  <cp:lastModifiedBy>Liany Raquel Quinderé</cp:lastModifiedBy>
  <cp:lastPrinted>2026-10-19T23:28:22Z</cp:lastPrinted>
  <dcterms:created xsi:type="dcterms:W3CDTF">2026-10-19T21:31:02Z</dcterms:created>
  <dcterms:modified xsi:type="dcterms:W3CDTF">2026-10-20T02:10:38Z</dcterms:modified>
</cp:coreProperties>
</file>